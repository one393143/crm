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User\昌慈\專案\CRP\record\"/>
    </mc:Choice>
  </mc:AlternateContent>
  <xr:revisionPtr revIDLastSave="0" documentId="13_ncr:1_{44351977-3FA8-438D-A905-C8208E7389B5}" xr6:coauthVersionLast="47" xr6:coauthVersionMax="47" xr10:uidLastSave="{00000000-0000-0000-0000-000000000000}"/>
  <bookViews>
    <workbookView xWindow="-120" yWindow="-120" windowWidth="29040" windowHeight="15720" firstSheet="6" activeTab="6" xr2:uid="{00000000-000D-0000-FFFF-FFFF00000000}"/>
  </bookViews>
  <sheets>
    <sheet name="任務進度追蹤" sheetId="2" state="hidden" r:id="rId1"/>
    <sheet name="國外客戶交貨" sheetId="26" state="hidden" r:id="rId2"/>
    <sheet name="採購單下單整理" sheetId="28" state="hidden" r:id="rId3"/>
    <sheet name="工作表2" sheetId="25" state="hidden" r:id="rId4"/>
    <sheet name="工作表1" sheetId="29" state="hidden" r:id="rId5"/>
    <sheet name="接洽紀錄" sheetId="21" state="hidden" r:id="rId6"/>
    <sheet name="接洽紀錄." sheetId="30" r:id="rId7"/>
  </sheets>
  <definedNames>
    <definedName name="_xlnm._FilterDatabase" localSheetId="1" hidden="1">國外客戶交貨!$A$1:$P$19</definedName>
    <definedName name="_xlnm._FilterDatabase" localSheetId="5" hidden="1">接洽紀錄!$A$863:$H$863</definedName>
    <definedName name="_xlnm._FilterDatabase" localSheetId="6" hidden="1">接洽紀錄.!$A$1756:$H$1757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50" i="30" l="1"/>
  <c r="D1846" i="30"/>
  <c r="D1844" i="30"/>
  <c r="D1752" i="30"/>
  <c r="D1748" i="30"/>
  <c r="D1746" i="30"/>
  <c r="D1702" i="30"/>
  <c r="D1698" i="30"/>
  <c r="D1696" i="30"/>
  <c r="D1648" i="30"/>
  <c r="D1644" i="30"/>
  <c r="D1642" i="30"/>
  <c r="D1591" i="30"/>
  <c r="D1587" i="30"/>
  <c r="D1585" i="30"/>
  <c r="D1552" i="30"/>
  <c r="D1548" i="30"/>
  <c r="D1546" i="30"/>
  <c r="D1513" i="30"/>
  <c r="D1509" i="30"/>
  <c r="D1507" i="30"/>
  <c r="D1439" i="30"/>
  <c r="D1435" i="30"/>
  <c r="D1433" i="30"/>
  <c r="D1399" i="30"/>
  <c r="D1395" i="30"/>
  <c r="D1393" i="30"/>
  <c r="D1336" i="30"/>
  <c r="D1332" i="30"/>
  <c r="D1330" i="30"/>
  <c r="D1276" i="30"/>
  <c r="D1272" i="30"/>
  <c r="D1270" i="30"/>
  <c r="D1217" i="30"/>
  <c r="D1213" i="30"/>
  <c r="D1211" i="30"/>
  <c r="D1164" i="30"/>
  <c r="D1160" i="30"/>
  <c r="D1158" i="30"/>
  <c r="D1111" i="30"/>
  <c r="D1107" i="30"/>
  <c r="D1105" i="30"/>
  <c r="D1049" i="30"/>
  <c r="D1045" i="30"/>
  <c r="D1043" i="30"/>
  <c r="D988" i="30"/>
  <c r="D984" i="30"/>
  <c r="D982" i="30"/>
  <c r="D956" i="30"/>
  <c r="D952" i="30"/>
  <c r="D950" i="30"/>
  <c r="D917" i="30"/>
  <c r="D913" i="30"/>
  <c r="D911" i="30"/>
  <c r="D875" i="30"/>
  <c r="D871" i="30"/>
  <c r="D869" i="30"/>
  <c r="D836" i="30"/>
  <c r="D832" i="30"/>
  <c r="D830" i="30"/>
  <c r="D786" i="30"/>
  <c r="D782" i="30"/>
  <c r="D780" i="30"/>
  <c r="D709" i="30"/>
  <c r="D705" i="30"/>
  <c r="D703" i="30"/>
  <c r="D671" i="30"/>
  <c r="D667" i="30"/>
  <c r="D665" i="30"/>
  <c r="D608" i="30"/>
  <c r="D604" i="30"/>
  <c r="D602" i="30"/>
  <c r="D558" i="30"/>
  <c r="D554" i="30"/>
  <c r="D552" i="30"/>
  <c r="D488" i="30"/>
  <c r="D484" i="30"/>
  <c r="D482" i="30"/>
  <c r="D445" i="30"/>
  <c r="D441" i="30"/>
  <c r="D439" i="30"/>
  <c r="D392" i="30"/>
  <c r="D388" i="30"/>
  <c r="D386" i="30"/>
  <c r="D354" i="30"/>
  <c r="D350" i="30"/>
  <c r="D348" i="30"/>
  <c r="D327" i="30"/>
  <c r="D323" i="30"/>
  <c r="D321" i="30"/>
  <c r="D288" i="30"/>
  <c r="D284" i="30"/>
  <c r="D282" i="30"/>
  <c r="D239" i="30"/>
  <c r="D235" i="30"/>
  <c r="D233" i="30"/>
  <c r="D202" i="30"/>
  <c r="D198" i="30"/>
  <c r="D196" i="30"/>
  <c r="D158" i="30"/>
  <c r="D154" i="30"/>
  <c r="D152" i="30"/>
  <c r="D110" i="30"/>
  <c r="D106" i="30"/>
  <c r="D104" i="30"/>
  <c r="D68" i="30"/>
  <c r="D64" i="30"/>
  <c r="D62" i="30"/>
  <c r="D24" i="30"/>
  <c r="D20" i="30"/>
  <c r="D18" i="30"/>
  <c r="E1211" i="30" l="1"/>
  <c r="F1211" i="30" s="1"/>
  <c r="E703" i="30"/>
  <c r="F703" i="30" s="1"/>
  <c r="E62" i="30"/>
  <c r="F62" i="30" s="1"/>
  <c r="E665" i="30"/>
  <c r="F665" i="30" s="1"/>
  <c r="E104" i="30"/>
  <c r="F104" i="30" s="1"/>
  <c r="E1642" i="30"/>
  <c r="F1642" i="30" s="1"/>
  <c r="E1393" i="30"/>
  <c r="F1393" i="30" s="1"/>
  <c r="E602" i="30"/>
  <c r="F602" i="30" s="1"/>
  <c r="E152" i="30"/>
  <c r="F152" i="30" s="1"/>
  <c r="E830" i="30"/>
  <c r="F830" i="30" s="1"/>
  <c r="E348" i="30"/>
  <c r="F348" i="30" s="1"/>
  <c r="E1043" i="30"/>
  <c r="F1043" i="30" s="1"/>
  <c r="E233" i="30"/>
  <c r="F233" i="30" s="1"/>
  <c r="E439" i="30"/>
  <c r="F439" i="30" s="1"/>
  <c r="E282" i="30"/>
  <c r="F282" i="30" s="1"/>
  <c r="E482" i="30"/>
  <c r="F482" i="30" s="1"/>
  <c r="E950" i="30"/>
  <c r="F950" i="30" s="1"/>
  <c r="E321" i="30"/>
  <c r="F321" i="30" s="1"/>
  <c r="E780" i="30"/>
  <c r="F780" i="30" s="1"/>
  <c r="E1270" i="30"/>
  <c r="F1270" i="30" s="1"/>
  <c r="E18" i="30"/>
  <c r="F18" i="30" s="1"/>
  <c r="E386" i="30"/>
  <c r="F386" i="30" s="1"/>
  <c r="E869" i="30"/>
  <c r="F869" i="30" s="1"/>
  <c r="E911" i="30"/>
  <c r="F911" i="30" s="1"/>
  <c r="E1158" i="30"/>
  <c r="F1158" i="30" s="1"/>
  <c r="E1433" i="30"/>
  <c r="F1433" i="30" s="1"/>
  <c r="E1696" i="30"/>
  <c r="F1696" i="30" s="1"/>
  <c r="E1746" i="30"/>
  <c r="F1746" i="30" s="1"/>
  <c r="E552" i="30"/>
  <c r="F552" i="30" s="1"/>
  <c r="E982" i="30"/>
  <c r="F982" i="30" s="1"/>
  <c r="E1507" i="30"/>
  <c r="F1507" i="30" s="1"/>
  <c r="E1546" i="30"/>
  <c r="F1546" i="30" s="1"/>
  <c r="E196" i="30"/>
  <c r="F196" i="30" s="1"/>
  <c r="E1330" i="30"/>
  <c r="F1330" i="30" s="1"/>
  <c r="E1844" i="30"/>
  <c r="F1844" i="30" s="1"/>
  <c r="E1105" i="30"/>
  <c r="F1105" i="30" s="1"/>
  <c r="E1585" i="30"/>
  <c r="F1585" i="30" s="1"/>
  <c r="K14" i="26" l="1"/>
  <c r="I14" i="26"/>
  <c r="K13" i="26"/>
  <c r="I13" i="26"/>
  <c r="K11" i="26"/>
  <c r="I11" i="26"/>
  <c r="K10" i="26"/>
  <c r="I10" i="26"/>
  <c r="D886" i="21" l="1"/>
  <c r="D882" i="21"/>
  <c r="E880" i="21" s="1"/>
  <c r="F880" i="21" s="1"/>
  <c r="D859" i="21"/>
  <c r="D855" i="21"/>
  <c r="E853" i="21" s="1"/>
  <c r="F853" i="21" s="1"/>
  <c r="D795" i="21"/>
  <c r="D791" i="21"/>
  <c r="E789" i="21" s="1"/>
  <c r="F789" i="21" s="1"/>
  <c r="D759" i="21"/>
  <c r="D755" i="21"/>
  <c r="E753" i="21" s="1"/>
  <c r="F753" i="21" s="1"/>
  <c r="D702" i="21"/>
  <c r="D698" i="21"/>
  <c r="E696" i="21" s="1"/>
  <c r="F696" i="21" s="1"/>
  <c r="D648" i="21"/>
  <c r="D644" i="21"/>
  <c r="E642" i="21" s="1"/>
  <c r="F642" i="21" s="1"/>
  <c r="D590" i="21"/>
  <c r="D586" i="21"/>
  <c r="E584" i="21" s="1"/>
  <c r="F584" i="21" s="1"/>
  <c r="D530" i="21"/>
  <c r="D526" i="21"/>
  <c r="E524" i="21" s="1"/>
  <c r="F524" i="21" s="1"/>
  <c r="D472" i="21" l="1"/>
  <c r="D468" i="21"/>
  <c r="E466" i="21" s="1"/>
  <c r="F466" i="21" s="1"/>
  <c r="D419" i="21"/>
  <c r="D415" i="21"/>
  <c r="E413" i="21" s="1"/>
  <c r="F413" i="21" s="1"/>
  <c r="D362" i="21"/>
  <c r="D358" i="21"/>
  <c r="E356" i="21" s="1"/>
  <c r="F356" i="21" s="1"/>
  <c r="D331" i="21"/>
  <c r="D327" i="21"/>
  <c r="E325" i="21" s="1"/>
  <c r="F325" i="21" s="1"/>
  <c r="D292" i="21"/>
  <c r="D288" i="21"/>
  <c r="E286" i="21" s="1"/>
  <c r="F286" i="21" s="1"/>
  <c r="D253" i="21"/>
  <c r="E251" i="21" s="1"/>
  <c r="F251" i="21" s="1"/>
  <c r="D257" i="21"/>
  <c r="D220" i="21"/>
  <c r="D216" i="21"/>
  <c r="E214" i="21" s="1"/>
  <c r="F214" i="21" s="1"/>
  <c r="D174" i="21"/>
  <c r="D170" i="21"/>
  <c r="E168" i="21" s="1"/>
  <c r="F168" i="21" s="1"/>
  <c r="D130" i="21"/>
  <c r="D126" i="21"/>
  <c r="E124" i="21" s="1"/>
  <c r="F124" i="21" s="1"/>
  <c r="D71" i="21"/>
  <c r="D67" i="21"/>
  <c r="E65" i="21" s="1"/>
  <c r="F65" i="21" s="1"/>
  <c r="D29" i="21"/>
  <c r="D25" i="21"/>
  <c r="D23" i="21"/>
  <c r="E23" i="21" l="1"/>
  <c r="F23" i="21" s="1"/>
</calcChain>
</file>

<file path=xl/sharedStrings.xml><?xml version="1.0" encoding="utf-8"?>
<sst xmlns="http://schemas.openxmlformats.org/spreadsheetml/2006/main" count="13078" uniqueCount="3007">
  <si>
    <t>姓名</t>
  </si>
  <si>
    <t>報告週次</t>
  </si>
  <si>
    <t>報告日期</t>
  </si>
  <si>
    <t>客戶名稱</t>
  </si>
  <si>
    <t>任務目標</t>
  </si>
  <si>
    <t>達成情況說明</t>
  </si>
  <si>
    <t>遇到困難/協助需求</t>
  </si>
  <si>
    <t>下週預計行動</t>
  </si>
  <si>
    <t>WK30</t>
    <phoneticPr fontId="1" type="noConversion"/>
  </si>
  <si>
    <t>WK31</t>
    <phoneticPr fontId="1" type="noConversion"/>
  </si>
  <si>
    <t>WK32</t>
    <phoneticPr fontId="1" type="noConversion"/>
  </si>
  <si>
    <t>報告週次</t>
    <phoneticPr fontId="1" type="noConversion"/>
  </si>
  <si>
    <t>備註</t>
    <phoneticPr fontId="1" type="noConversion"/>
  </si>
  <si>
    <t>會議建議</t>
    <phoneticPr fontId="1" type="noConversion"/>
  </si>
  <si>
    <t>美達</t>
    <phoneticPr fontId="1" type="noConversion"/>
  </si>
  <si>
    <t>致茂</t>
    <phoneticPr fontId="1" type="noConversion"/>
  </si>
  <si>
    <t>數量</t>
    <phoneticPr fontId="1" type="noConversion"/>
  </si>
  <si>
    <t>WK33</t>
  </si>
  <si>
    <t>WK33</t>
    <phoneticPr fontId="1" type="noConversion"/>
  </si>
  <si>
    <t>WK34</t>
  </si>
  <si>
    <t>WK34</t>
    <phoneticPr fontId="1" type="noConversion"/>
  </si>
  <si>
    <t>WK35</t>
  </si>
  <si>
    <t>WK35</t>
    <phoneticPr fontId="1" type="noConversion"/>
  </si>
  <si>
    <t>WK36</t>
  </si>
  <si>
    <t>WK36</t>
    <phoneticPr fontId="1" type="noConversion"/>
  </si>
  <si>
    <t>東元</t>
    <phoneticPr fontId="1" type="noConversion"/>
  </si>
  <si>
    <t>WK37</t>
  </si>
  <si>
    <t>WK38</t>
  </si>
  <si>
    <t>WK39</t>
  </si>
  <si>
    <t>WK40</t>
  </si>
  <si>
    <t>WK41</t>
  </si>
  <si>
    <t>WK42</t>
  </si>
  <si>
    <t>WK43</t>
  </si>
  <si>
    <t>WK44</t>
  </si>
  <si>
    <t>WK45</t>
  </si>
  <si>
    <t>WK46</t>
  </si>
  <si>
    <t>WK47</t>
  </si>
  <si>
    <t>WK48</t>
  </si>
  <si>
    <t>本周行動</t>
    <phoneticPr fontId="1" type="noConversion"/>
  </si>
  <si>
    <t>行動方式</t>
    <phoneticPr fontId="1" type="noConversion"/>
  </si>
  <si>
    <t>面訪</t>
  </si>
  <si>
    <t>電訪</t>
  </si>
  <si>
    <t>起而行</t>
    <phoneticPr fontId="1" type="noConversion"/>
  </si>
  <si>
    <t>Arron Tsao</t>
    <phoneticPr fontId="1" type="noConversion"/>
  </si>
  <si>
    <t>1. 17060 SiC模塊事情討論
2. DC Load 報告處理
3. MC-PN Busbar樣品下單</t>
    <phoneticPr fontId="1" type="noConversion"/>
  </si>
  <si>
    <t>1. Gary認為SiC不適用，已與簡宏諺通話並發郵件給他。
2. 麥思浦資料時間延誤，下周發。
3. 已下樣品需求。</t>
    <phoneticPr fontId="1" type="noConversion"/>
  </si>
  <si>
    <t>1. 與Gary見面討論SiC規格及散熱計算。
3. 與立勳見面討論修改部分，待客戶簽核圖面。</t>
    <phoneticPr fontId="1" type="noConversion"/>
  </si>
  <si>
    <t>SiC模組難以與客戶達成共識</t>
    <phoneticPr fontId="1" type="noConversion"/>
  </si>
  <si>
    <t>1. 約簡宏諺見面。
2. 與建興見面。
3. 61860HF ACIN微調討論。
4. 測試追蹤。</t>
    <phoneticPr fontId="1" type="noConversion"/>
  </si>
  <si>
    <t>井昇</t>
    <phoneticPr fontId="1" type="noConversion"/>
  </si>
  <si>
    <t>1. 17060 SiC模塊事情討論
2. DC Load 報告處理</t>
    <phoneticPr fontId="1" type="noConversion"/>
  </si>
  <si>
    <t>1.與簡宏諺通話。
2.與蔣興文碰面。</t>
    <phoneticPr fontId="1" type="noConversion"/>
  </si>
  <si>
    <t>暫無</t>
    <phoneticPr fontId="1" type="noConversion"/>
  </si>
  <si>
    <t>1. 跟顥展見面討論MOS的測試進程
2.跟宥紘、東興、進聰見面
3.給文智VGS18的產品規格可能也要約見面
4.跟宗霖討論61860HF-ACIN調整部分</t>
    <phoneticPr fontId="1" type="noConversion"/>
  </si>
  <si>
    <r>
      <t xml:space="preserve">1. 簡r表示給他一點時間，等下週出差完會跟偉哲談一下再找我，後面再來談條件。
2. Busbar的部分要給他一點時間安排，因目前建興請長假預計9月中才會回來，人手非常不足。
</t>
    </r>
    <r>
      <rPr>
        <b/>
        <sz val="11"/>
        <color theme="1"/>
        <rFont val="新細明體"/>
        <family val="1"/>
        <charset val="136"/>
        <scheme val="minor"/>
      </rPr>
      <t>測試追蹤</t>
    </r>
    <r>
      <rPr>
        <sz val="11"/>
        <color theme="1"/>
        <rFont val="新細明體"/>
        <family val="1"/>
        <charset val="136"/>
        <scheme val="minor"/>
      </rPr>
      <t>：
1.文智SiC預計9月底會測完。
2. 建樺輔電MOS預計8月底會插上去測試。</t>
    </r>
    <phoneticPr fontId="1" type="noConversion"/>
  </si>
  <si>
    <t>源效</t>
    <phoneticPr fontId="1" type="noConversion"/>
  </si>
  <si>
    <t>澤碩</t>
    <phoneticPr fontId="1" type="noConversion"/>
  </si>
  <si>
    <t>聯絡人</t>
    <phoneticPr fontId="1" type="noConversion"/>
  </si>
  <si>
    <t>聯絡時間</t>
    <phoneticPr fontId="1" type="noConversion"/>
  </si>
  <si>
    <t>接洽方式</t>
    <phoneticPr fontId="1" type="noConversion"/>
  </si>
  <si>
    <t>接洽紀錄</t>
    <phoneticPr fontId="1" type="noConversion"/>
  </si>
  <si>
    <t>接洽情況</t>
    <phoneticPr fontId="1" type="noConversion"/>
  </si>
  <si>
    <t>面訪</t>
    <phoneticPr fontId="1" type="noConversion"/>
  </si>
  <si>
    <t>電訪</t>
    <phoneticPr fontId="1" type="noConversion"/>
  </si>
  <si>
    <t>約訪</t>
  </si>
  <si>
    <t>約訪</t>
    <phoneticPr fontId="1" type="noConversion"/>
  </si>
  <si>
    <t>主管評價</t>
    <phoneticPr fontId="1" type="noConversion"/>
  </si>
  <si>
    <t>接洽類型</t>
    <phoneticPr fontId="1" type="noConversion"/>
  </si>
  <si>
    <t>有效</t>
    <phoneticPr fontId="1" type="noConversion"/>
  </si>
  <si>
    <t>無效</t>
    <phoneticPr fontId="1" type="noConversion"/>
  </si>
  <si>
    <t>數據統計</t>
    <phoneticPr fontId="1" type="noConversion"/>
  </si>
  <si>
    <t>有效接觸</t>
  </si>
  <si>
    <t>效果</t>
    <phoneticPr fontId="1" type="noConversion"/>
  </si>
  <si>
    <t>東元空調</t>
    <phoneticPr fontId="1" type="noConversion"/>
  </si>
  <si>
    <t>聯昌</t>
    <phoneticPr fontId="1" type="noConversion"/>
  </si>
  <si>
    <t>新項目討論</t>
  </si>
  <si>
    <t>關係維護</t>
  </si>
  <si>
    <t>無效</t>
  </si>
  <si>
    <t>林慰瀚 RD</t>
    <phoneticPr fontId="1" type="noConversion"/>
  </si>
  <si>
    <t>目前IGBT需要完整規格書讓他申請下樣品，已請羅工準備下去。HF115F跟底座請我申請5~10pcs樣品，OMRON那款120A替代品報價。</t>
    <phoneticPr fontId="1" type="noConversion"/>
  </si>
  <si>
    <t>正要開發露營車總體電源開關，主要元件為Power Relay，單向三線，每線各一個Relay，60A/125VAC以上，會再找測試的Ronald談。</t>
    <phoneticPr fontId="1" type="noConversion"/>
  </si>
  <si>
    <t>陳顥展 RD</t>
    <phoneticPr fontId="1" type="noConversion"/>
  </si>
  <si>
    <t>MOS測試進度應為9月份會有一個結果，講解失效報告跟測試報告，並催促Busbar測試，電感議題是王國政處長發起的，會再請處長催促。</t>
    <phoneticPr fontId="1" type="noConversion"/>
  </si>
  <si>
    <t>Frank RD</t>
    <phoneticPr fontId="1" type="noConversion"/>
  </si>
  <si>
    <t>Jason RD</t>
    <phoneticPr fontId="1" type="noConversion"/>
  </si>
  <si>
    <t>討論DC Relay的選型、832HA的替代使用，已給方案，預計下周拜訪</t>
    <phoneticPr fontId="1" type="noConversion"/>
  </si>
  <si>
    <t>韓家仲 RD</t>
    <phoneticPr fontId="1" type="noConversion"/>
  </si>
  <si>
    <t>David RD</t>
    <phoneticPr fontId="1" type="noConversion"/>
  </si>
  <si>
    <t>DC Load新系統需要在關閉時用DC Relay做洩放電路，洩放電容餘電，但最後礙於設計關係必須使用常閉Relay，而我們這邊無方案，暫時不繼續。</t>
    <phoneticPr fontId="1" type="noConversion"/>
  </si>
  <si>
    <t>宥紘、東興、進聰</t>
    <phoneticPr fontId="1" type="noConversion"/>
  </si>
  <si>
    <t>討論目前銅條、Busbar改進事項，目前Busbar大多數問題都可以解決，但是銅條還是會有誤差情況，目前就是請博雅備原料，重新對圖面，減少整批出錯情況。</t>
    <phoneticPr fontId="1" type="noConversion"/>
  </si>
  <si>
    <t>陌生開發</t>
  </si>
  <si>
    <t>康舒</t>
    <phoneticPr fontId="1" type="noConversion"/>
  </si>
  <si>
    <t>儲能RD、Server Power RD</t>
    <phoneticPr fontId="1" type="noConversion"/>
  </si>
  <si>
    <t>聯繫清單RD皆未接，可能需要從Sourcer、採購再打聽起。</t>
    <phoneticPr fontId="1" type="noConversion"/>
  </si>
  <si>
    <t>光寶</t>
    <phoneticPr fontId="1" type="noConversion"/>
  </si>
  <si>
    <t>顏r RD</t>
    <phoneticPr fontId="1" type="noConversion"/>
  </si>
  <si>
    <t>Server power設計與他們部門無關，沒有認識窗口。打算推PEM給Server power RD，用於DC Load測試。後續有跟Alan問出一個大陸窗口，再想辦法聯繫。</t>
    <phoneticPr fontId="1" type="noConversion"/>
  </si>
  <si>
    <t>王國政 處長</t>
    <phoneticPr fontId="1" type="noConversion"/>
  </si>
  <si>
    <t>討論DC Load Busbar的測試，下週見面討論，並跟他報告目前推廣狀況。</t>
    <phoneticPr fontId="1" type="noConversion"/>
  </si>
  <si>
    <t>新普</t>
    <phoneticPr fontId="1" type="noConversion"/>
  </si>
  <si>
    <t>周主任</t>
    <phoneticPr fontId="1" type="noConversion"/>
  </si>
  <si>
    <t>想推儲能目前的項目，現在新普儲能櫃因為市場飽和都沒新案，他作為RD目前只有在針對案場提供技術支援，之前EE部門也收掉了。關於AES-KY也沒有認識的人</t>
    <phoneticPr fontId="1" type="noConversion"/>
  </si>
  <si>
    <t>兆普(AES-KY)</t>
    <phoneticPr fontId="1" type="noConversion"/>
  </si>
  <si>
    <t>蔡副處 RD</t>
    <phoneticPr fontId="1" type="noConversion"/>
  </si>
  <si>
    <t>蔡副處負責ODM案子設計，主力在於BLDC、FFU，除了IGBT Discrete、IPM，也有在用PIM設計，約下週見面。</t>
    <phoneticPr fontId="1" type="noConversion"/>
  </si>
  <si>
    <t>Ronald RD</t>
    <phoneticPr fontId="1" type="noConversion"/>
  </si>
  <si>
    <t>暫約週四見面</t>
    <phoneticPr fontId="1" type="noConversion"/>
  </si>
  <si>
    <t>文智</t>
    <phoneticPr fontId="1" type="noConversion"/>
  </si>
  <si>
    <t>想約週三下午碰面討論目前SiC選型與接下來案子走向，但時間還不確定。</t>
    <phoneticPr fontId="1" type="noConversion"/>
  </si>
  <si>
    <t>Venessa 採購</t>
    <phoneticPr fontId="1" type="noConversion"/>
  </si>
  <si>
    <t>順達</t>
    <phoneticPr fontId="1" type="noConversion"/>
  </si>
  <si>
    <t>想要認識EE RD孫r詢問BBU事情，但因為沒有分機被總機擋掉。</t>
    <phoneticPr fontId="1" type="noConversion"/>
  </si>
  <si>
    <t>賴r RD</t>
    <phoneticPr fontId="1" type="noConversion"/>
  </si>
  <si>
    <t>跟賴先生介紹我司在做的項目，因為對方在忙，請我先發郵件給他。</t>
    <phoneticPr fontId="1" type="noConversion"/>
  </si>
  <si>
    <t>文堯</t>
    <phoneticPr fontId="1" type="noConversion"/>
  </si>
  <si>
    <t>拿336 Busbar，順便追蹤一下目前17060進度。</t>
    <phoneticPr fontId="1" type="noConversion"/>
  </si>
  <si>
    <t>確認璞石跟他們見面的細節，跟他講說宏發我們已在推，讓他就跟我們合作。我們也比璞石早宣告美達，最後請他提供其他部門RD的聯繫方式，會再跟她約個時間見面。</t>
    <phoneticPr fontId="1" type="noConversion"/>
  </si>
  <si>
    <t>1. 與顥展見面
2. 與王國政通話
3. 與文堯見面</t>
    <phoneticPr fontId="1" type="noConversion"/>
  </si>
  <si>
    <t>1. MOS測試進度應為9月份會有一個結果，講解失效報告跟測試報告，並催促Busbar測試，電感議題是王國政處長發起的，會再請處長催促。
2. 討論DC Load Busbar的測試，下週見面討論，並跟他報告目前推廣狀況。
3. 目前SiC主要還是以Gary、偉哲為核心，Relay部分會等Power板插好再一起組來試，可能會先以廠內料為主，會試600A。</t>
    <phoneticPr fontId="1" type="noConversion"/>
  </si>
  <si>
    <t>1. 與王國政見面催Busbar測試進度
2. 聯繫簡宏諺確認見面時間
3.與文智約碰面</t>
    <phoneticPr fontId="1" type="noConversion"/>
  </si>
  <si>
    <t>建凱</t>
    <phoneticPr fontId="1" type="noConversion"/>
  </si>
  <si>
    <t>金健全</t>
    <phoneticPr fontId="1" type="noConversion"/>
  </si>
  <si>
    <t>南京光寶</t>
    <phoneticPr fontId="1" type="noConversion"/>
  </si>
  <si>
    <t>汪忠勇</t>
    <phoneticPr fontId="1" type="noConversion"/>
  </si>
  <si>
    <t>楊睿恩、柯耀庭</t>
    <phoneticPr fontId="1" type="noConversion"/>
  </si>
  <si>
    <t>長庚能源</t>
    <phoneticPr fontId="1" type="noConversion"/>
  </si>
  <si>
    <t>Albert</t>
    <phoneticPr fontId="1" type="noConversion"/>
  </si>
  <si>
    <t>劉太成</t>
    <phoneticPr fontId="1" type="noConversion"/>
  </si>
  <si>
    <t>未接</t>
    <phoneticPr fontId="1" type="noConversion"/>
  </si>
  <si>
    <t>郭茂楠</t>
    <phoneticPr fontId="1" type="noConversion"/>
  </si>
  <si>
    <t>大部分的Power Stage都有用DC/DC converter，非只有輔助電源，看功率瓦數每家擅長的不同選用上也不一樣。目前致茂已有代理商跑RECOM</t>
    <phoneticPr fontId="1" type="noConversion"/>
  </si>
  <si>
    <t>陳顥展</t>
    <phoneticPr fontId="1" type="noConversion"/>
  </si>
  <si>
    <t>王國政</t>
    <phoneticPr fontId="1" type="noConversion"/>
  </si>
  <si>
    <t>蔣興文</t>
    <phoneticPr fontId="1" type="noConversion"/>
  </si>
  <si>
    <t>明日碰面</t>
    <phoneticPr fontId="1" type="noConversion"/>
  </si>
  <si>
    <t xml:space="preserve">賴r </t>
    <phoneticPr fontId="1" type="noConversion"/>
  </si>
  <si>
    <t>群光電能</t>
    <phoneticPr fontId="1" type="noConversion"/>
  </si>
  <si>
    <t>連恩慶</t>
    <phoneticPr fontId="1" type="noConversion"/>
  </si>
  <si>
    <t>曾昱憲</t>
    <phoneticPr fontId="1" type="noConversion"/>
  </si>
  <si>
    <t>和鑫生技</t>
    <phoneticPr fontId="1" type="noConversion"/>
  </si>
  <si>
    <t>Kluber RD</t>
    <phoneticPr fontId="1" type="noConversion"/>
  </si>
  <si>
    <t>Alvin</t>
    <phoneticPr fontId="1" type="noConversion"/>
  </si>
  <si>
    <t>Fenny</t>
    <phoneticPr fontId="1" type="noConversion"/>
  </si>
  <si>
    <t>Luke</t>
    <phoneticPr fontId="1" type="noConversion"/>
  </si>
  <si>
    <t>陳文智</t>
    <phoneticPr fontId="1" type="noConversion"/>
  </si>
  <si>
    <t>半導體模組使用我司的都不如預期，現在都用進口的模組，近期都沒時間碰面，不懂應用所以不知如何吸引他。有將RECOM資訊發給他。</t>
    <phoneticPr fontId="1" type="noConversion"/>
  </si>
  <si>
    <t>台南跟南京都有RD設計Server Power，他那邊自己兜Sensor可以測63224A的併櫃Busbar，不需要PEM。不認識台南的RD。</t>
    <phoneticPr fontId="1" type="noConversion"/>
  </si>
  <si>
    <t>確認17020C串聯電源新案開啟沒，目前可能到年底都還不會成形。</t>
    <phoneticPr fontId="1" type="noConversion"/>
  </si>
  <si>
    <t>出差明天進來。8/12未接</t>
    <phoneticPr fontId="1" type="noConversion"/>
  </si>
  <si>
    <t>DC Load的電源來源都是DC Source，輔電買明緯現成的。</t>
    <phoneticPr fontId="1" type="noConversion"/>
  </si>
  <si>
    <t>Server Power都是用Infineon 650V MOS不太會動，輔電高壓MOS也是自己設計，高壓MOS一樣用Infineon、DC/DC Converter用TI的。已發郵件推薦RECOM跟高壓MOS，有機會約碰面。</t>
    <phoneticPr fontId="1" type="noConversion"/>
  </si>
  <si>
    <t>X光的Power supply設計(A-D) 目前正在收案，接下來會開一個400W新案，還未決定功率元件，先發郵件口頭說下周要約時間碰面。發郵件推薦功率元件、高壓MOS、RECOM。</t>
    <phoneticPr fontId="1" type="noConversion"/>
  </si>
  <si>
    <t>61860HF ACIN協調改圖事宜，請立勳發圖過來。</t>
    <phoneticPr fontId="1" type="noConversion"/>
  </si>
  <si>
    <t>未接，欲確認時間</t>
    <phoneticPr fontId="1" type="noConversion"/>
  </si>
  <si>
    <t>有效電訪</t>
    <phoneticPr fontId="1" type="noConversion"/>
  </si>
  <si>
    <t>合計</t>
    <phoneticPr fontId="1" type="noConversion"/>
  </si>
  <si>
    <t>電訪指標達成率(12次)</t>
    <phoneticPr fontId="1" type="noConversion"/>
  </si>
  <si>
    <t>約訪=1/3次有效電訪</t>
    <phoneticPr fontId="1" type="noConversion"/>
  </si>
  <si>
    <r>
      <t>面訪</t>
    </r>
    <r>
      <rPr>
        <b/>
        <sz val="11"/>
        <color theme="1"/>
        <rFont val="新細明體"/>
        <family val="1"/>
        <charset val="136"/>
      </rPr>
      <t>≧</t>
    </r>
    <r>
      <rPr>
        <b/>
        <sz val="11"/>
        <color theme="1"/>
        <rFont val="新細明體"/>
        <family val="1"/>
        <charset val="136"/>
        <scheme val="minor"/>
      </rPr>
      <t>15次=5次有效電訪</t>
    </r>
    <phoneticPr fontId="1" type="noConversion"/>
  </si>
  <si>
    <t>面訪指標達成率(9次)</t>
    <phoneticPr fontId="1" type="noConversion"/>
  </si>
  <si>
    <t>跟Alvin提需要下單下來我才要實測下去完整規格書，看是要約Samuel一起談，什麼條件大家互相有保障。
另外討論RELAY規格事宜</t>
    <phoneticPr fontId="1" type="noConversion"/>
  </si>
  <si>
    <t>子元</t>
    <phoneticPr fontId="1" type="noConversion"/>
  </si>
  <si>
    <t>Frank</t>
    <phoneticPr fontId="1" type="noConversion"/>
  </si>
  <si>
    <t>韓家仲</t>
    <phoneticPr fontId="1" type="noConversion"/>
  </si>
  <si>
    <t>San</t>
    <phoneticPr fontId="1" type="noConversion"/>
  </si>
  <si>
    <t>MOS 測試60只有4只失效，拉到1400V測試140W單脈衝測試100ms，之後入廠QC會以這個標準，目前有其他家也有一起測試目前測100pcs沒問題，不願意透漏是誰。下周要約麥思浦韓工跟致茂一起開線上會議，討論相關測試，針對SOA測試討論，以及討論協助測試的失效分析。Busbar 8月底前會測試完。</t>
    <phoneticPr fontId="1" type="noConversion"/>
  </si>
  <si>
    <t>跟王處長匯報我們的導入進度，Busbar幾個案子他都是幕後推手，SiC 模組要替代61800機種比較困難，但是FF300R12MS4若有方案可以推薦。
另外聊到RECOM他原本有想要找DIN Rail A/D 120V~400V但以前的代理商說沒有方案，要請Darren跟RECOM問一下。</t>
    <phoneticPr fontId="1" type="noConversion"/>
  </si>
  <si>
    <t>HVDC Relay不是滅弧用，是拿DC Relay(觸點無極性)做AC的三相L、N極輸出搭接，目前測起來OK預估剩下測項會跟安規測試同步進行，目標11月能Release 61860HF。</t>
    <phoneticPr fontId="1" type="noConversion"/>
  </si>
  <si>
    <t>原詢一款120A/60Vdc PCB Relay，有推薦一款宏發型號但因為宏發的DC能力沒有UL認證所以不行選用。討論其他Relay在該應用的使用。</t>
    <phoneticPr fontId="1" type="noConversion"/>
  </si>
  <si>
    <t>想問19501 RD是誰？請我發郵件詢問，已發未回覆。</t>
    <phoneticPr fontId="1" type="noConversion"/>
  </si>
  <si>
    <t>討論高壓MOS的使用，目前用RENESAS 5A/1700V一年只買幾百顆，這讓根茂自己解決。緩啟動小台用AC IN Power Relay、大台用電磁接觸器。推薦我去找台灣做冷凝系統的廠家，大台可能用PIM多。根茂板子預計8月底前到開始測試。</t>
    <phoneticPr fontId="1" type="noConversion"/>
  </si>
  <si>
    <t>價格做討論重新報價，預計先買150A Relay、250A Fuse來試。</t>
    <phoneticPr fontId="1" type="noConversion"/>
  </si>
  <si>
    <t>簡宏諺</t>
    <phoneticPr fontId="1" type="noConversion"/>
  </si>
  <si>
    <t>蔡長嗣</t>
    <phoneticPr fontId="1" type="noConversion"/>
  </si>
  <si>
    <t>Samuel、Alvin</t>
    <phoneticPr fontId="1" type="noConversion"/>
  </si>
  <si>
    <t>艾可</t>
    <phoneticPr fontId="1" type="noConversion"/>
  </si>
  <si>
    <t>Gary</t>
    <phoneticPr fontId="1" type="noConversion"/>
  </si>
  <si>
    <t>1. IGBT要改成用SiC Discrete做為開關。目前為了要達到1600A/1700V 功率，可能會並聯+串聯的方式。
需要我們提供SiC Disrete規格書，1200V、1700V大A數的產品。
2. 另外，宏發的Relay須提供Inrush 電流數作參考。
3. 推薦RECOM的DC/DC取代MINMAX的產品。</t>
    <phoneticPr fontId="1" type="noConversion"/>
  </si>
  <si>
    <t>目前這兩件事情會需要Darren一起密集的討論與協助。</t>
    <phoneticPr fontId="1" type="noConversion"/>
  </si>
  <si>
    <t>1. 目前獅門無標準品可以替換，需確認王國政那邊的意願程度，我們可以幫他們開一個規格，年用約4kpcs。
2. 下週要與韓工開視訊會議討論解決方案。</t>
    <phoneticPr fontId="1" type="noConversion"/>
  </si>
  <si>
    <t>1. 與王國政見面
2. 與蔣興文碰面
3. 與簡宏諺、Gary通話</t>
    <phoneticPr fontId="1" type="noConversion"/>
  </si>
  <si>
    <t>1.跟王處長匯報我們的導入進度，Busbar幾個案子他都是幕後推手，SiC 模組要替代61800機種比較困難，但是FF300R12MS4若有方案可以推薦。
2. MOS 測試60只有4只失效，拉到1400V測試140W單脈衝測試100ms，之後入廠QC會以這個標準，目前有其他家也有一起測試目前測100pcs沒問題，不願意透漏是誰。下周要約麥思浦韓工跟致茂一起開線上會議，討論相關測試，針對SOA測試討論，以及討論協助測試的失效分析。Busbar 8月底前會測試完。
3. 目前以條件上來看，我們獅門現有的規格來看致茂確定是不能使用，模擬不會過、實測過的可能性極低了，目前再開一個規格可能已經來不及。</t>
    <phoneticPr fontId="1" type="noConversion"/>
  </si>
  <si>
    <t>簡先生表示跟偉哲討論過後認為目前規格應該連模擬都跑不過，實測會更嚴苛，估計篩下來也沒幾間可以用，詳細測試條件要問偉哲，但他下周出差美國兩周應該找不到他。</t>
    <phoneticPr fontId="1" type="noConversion"/>
  </si>
  <si>
    <t>馬達驅動剛起步，搭配東元馬達出驅動板給東元賣，目前選用Easy1B 15A/1200V 3.7KW，預估5000台，請推薦25A/1200V PIM，我估計會先推獅門的方案</t>
    <phoneticPr fontId="1" type="noConversion"/>
  </si>
  <si>
    <t>認為我們的規格跑模擬不會過，所以也不會再花時間跑模擬，8月底就要開始實測，再開一個新的規格也來不及了，此案暫時停住。</t>
    <phoneticPr fontId="1" type="noConversion"/>
  </si>
  <si>
    <t>確認開會部屬</t>
    <phoneticPr fontId="1" type="noConversion"/>
  </si>
  <si>
    <t>和鑫</t>
    <phoneticPr fontId="1" type="noConversion"/>
  </si>
  <si>
    <t>Kluber</t>
    <phoneticPr fontId="1" type="noConversion"/>
  </si>
  <si>
    <t>Grace</t>
    <phoneticPr fontId="1" type="noConversion"/>
  </si>
  <si>
    <t>長庚國際能源</t>
    <phoneticPr fontId="1" type="noConversion"/>
  </si>
  <si>
    <t>蔣興文、Jordan</t>
    <phoneticPr fontId="1" type="noConversion"/>
  </si>
  <si>
    <t>Charles</t>
    <phoneticPr fontId="1" type="noConversion"/>
  </si>
  <si>
    <t>Jason、Kluber</t>
    <phoneticPr fontId="1" type="noConversion"/>
  </si>
  <si>
    <t>Ronald</t>
    <phoneticPr fontId="1" type="noConversion"/>
  </si>
  <si>
    <t>陳文誠</t>
    <phoneticPr fontId="1" type="noConversion"/>
  </si>
  <si>
    <t>陳立勳</t>
    <phoneticPr fontId="1" type="noConversion"/>
  </si>
  <si>
    <t>訂單協議</t>
  </si>
  <si>
    <t>金建全</t>
    <phoneticPr fontId="1" type="noConversion"/>
  </si>
  <si>
    <t>MOXA</t>
    <phoneticPr fontId="1" type="noConversion"/>
  </si>
  <si>
    <t>徐偉席</t>
    <phoneticPr fontId="1" type="noConversion"/>
  </si>
  <si>
    <t>吳承翰</t>
    <phoneticPr fontId="1" type="noConversion"/>
  </si>
  <si>
    <t>旺德國際</t>
    <phoneticPr fontId="1" type="noConversion"/>
  </si>
  <si>
    <t>Unknow</t>
    <phoneticPr fontId="1" type="noConversion"/>
  </si>
  <si>
    <t>震動盤，總機無人接</t>
    <phoneticPr fontId="1" type="noConversion"/>
  </si>
  <si>
    <t>錸益企業</t>
    <phoneticPr fontId="1" type="noConversion"/>
  </si>
  <si>
    <t>總機</t>
    <phoneticPr fontId="1" type="noConversion"/>
  </si>
  <si>
    <t>控制器買現成的，台灣有在做例如：遠品、漢馬克，也有從大陸拿進來</t>
    <phoneticPr fontId="1" type="noConversion"/>
  </si>
  <si>
    <t>PCB全部都是拿現成的</t>
    <phoneticPr fontId="1" type="noConversion"/>
  </si>
  <si>
    <t>討論Busbar的更動，請他評估博雅庫存15片拿走。</t>
    <phoneticPr fontId="1" type="noConversion"/>
  </si>
  <si>
    <t>無法直接給我窗口，要另找人幫忙推薦</t>
    <phoneticPr fontId="1" type="noConversion"/>
  </si>
  <si>
    <t>要MMD110A160B *100pcs報價，搶低價訂單</t>
    <phoneticPr fontId="1" type="noConversion"/>
  </si>
  <si>
    <t>請總機轉未接通</t>
    <phoneticPr fontId="1" type="noConversion"/>
  </si>
  <si>
    <t>確認時間</t>
    <phoneticPr fontId="1" type="noConversion"/>
  </si>
  <si>
    <t>TI 是用flyback IC，A/D用Infineon CoolSET SMD，跟我們完整做好的不一樣。</t>
    <phoneticPr fontId="1" type="noConversion"/>
  </si>
  <si>
    <t>人都不在，已發郵件重新邀請</t>
    <phoneticPr fontId="1" type="noConversion"/>
  </si>
  <si>
    <t>糾結票期問題，認為沒什麼好交換條件的。要推MOS先看產品規格書、價格。目前ST貨源穩定、便宜。</t>
    <phoneticPr fontId="1" type="noConversion"/>
  </si>
  <si>
    <t>致茂</t>
  </si>
  <si>
    <t>MS4目前是Only Source還有在供貨，就算沒有2nd Source也沒有關係，但是可以找王藝錡討論看看。 已先發郵件。</t>
    <phoneticPr fontId="1" type="noConversion"/>
  </si>
  <si>
    <t>產台</t>
    <phoneticPr fontId="1" type="noConversion"/>
  </si>
  <si>
    <t>羅先生</t>
    <phoneticPr fontId="1" type="noConversion"/>
  </si>
  <si>
    <t>王藝錡</t>
    <phoneticPr fontId="1" type="noConversion"/>
  </si>
  <si>
    <t>漢馬克</t>
    <phoneticPr fontId="1" type="noConversion"/>
  </si>
  <si>
    <t>林正義</t>
    <phoneticPr fontId="1" type="noConversion"/>
  </si>
  <si>
    <t>老闆今天外出</t>
    <phoneticPr fontId="1" type="noConversion"/>
  </si>
  <si>
    <t>設計DC-DC段硬體，大部分都是用集成，很少用MOS自己兜，要導新廠家需經過Sourcer，但可以先聊聊，我們也得先知道RECOM的優勢在哪裡。</t>
    <phoneticPr fontId="1" type="noConversion"/>
  </si>
  <si>
    <t>震動盤及控制器，電控由羅先生負責，今日外出公差。</t>
    <phoneticPr fontId="1" type="noConversion"/>
  </si>
  <si>
    <t>下週一下午討論訪廠內容</t>
    <phoneticPr fontId="1" type="noConversion"/>
  </si>
  <si>
    <t>威力工業</t>
    <phoneticPr fontId="1" type="noConversion"/>
  </si>
  <si>
    <t>黃煜杰 EE</t>
    <phoneticPr fontId="1" type="noConversion"/>
  </si>
  <si>
    <t>台林電通</t>
    <phoneticPr fontId="1" type="noConversion"/>
  </si>
  <si>
    <t>黃棟樑 採購經理</t>
    <phoneticPr fontId="1" type="noConversion"/>
  </si>
  <si>
    <t>賴r EE</t>
    <phoneticPr fontId="1" type="noConversion"/>
  </si>
  <si>
    <t>#5247 未接</t>
    <phoneticPr fontId="1" type="noConversion"/>
  </si>
  <si>
    <t>台塑新智能</t>
    <phoneticPr fontId="1" type="noConversion"/>
  </si>
  <si>
    <t>洪平松 協理</t>
    <phoneticPr fontId="1" type="noConversion"/>
  </si>
  <si>
    <t>#7879 接起來說在開會稍晚打，馬上掛掉。</t>
    <phoneticPr fontId="1" type="noConversion"/>
  </si>
  <si>
    <t>Kent RD</t>
    <phoneticPr fontId="1" type="noConversion"/>
  </si>
  <si>
    <t>總機轉 未接</t>
    <phoneticPr fontId="1" type="noConversion"/>
  </si>
  <si>
    <t>Joe RD</t>
    <phoneticPr fontId="1" type="noConversion"/>
  </si>
  <si>
    <t>打手機，已離職</t>
    <phoneticPr fontId="1" type="noConversion"/>
  </si>
  <si>
    <t>請我先給部分規格，大家再來談</t>
    <phoneticPr fontId="1" type="noConversion"/>
  </si>
  <si>
    <t>雅是達電子(Artesyn)</t>
    <phoneticPr fontId="1" type="noConversion"/>
  </si>
  <si>
    <t>鼎勝自動化</t>
    <phoneticPr fontId="1" type="noConversion"/>
  </si>
  <si>
    <t>洪旺勝 老闆</t>
    <phoneticPr fontId="1" type="noConversion"/>
  </si>
  <si>
    <t>總機未接</t>
    <phoneticPr fontId="1" type="noConversion"/>
  </si>
  <si>
    <t>大部份跟遠品拿的</t>
    <phoneticPr fontId="1" type="noConversion"/>
  </si>
  <si>
    <t>台泥儲能科技</t>
    <phoneticPr fontId="1" type="noConversion"/>
  </si>
  <si>
    <t>凌紘騰</t>
    <phoneticPr fontId="1" type="noConversion"/>
  </si>
  <si>
    <t>無任何電子電路設計，都是買現成人家兜好的</t>
    <phoneticPr fontId="1" type="noConversion"/>
  </si>
  <si>
    <t>來穎科技(錸德集團)</t>
    <phoneticPr fontId="1" type="noConversion"/>
  </si>
  <si>
    <t>總機說他請假</t>
    <phoneticPr fontId="1" type="noConversion"/>
  </si>
  <si>
    <t>巧力工業</t>
    <phoneticPr fontId="1" type="noConversion"/>
  </si>
  <si>
    <t>陳先生</t>
    <phoneticPr fontId="1" type="noConversion"/>
  </si>
  <si>
    <t>#2247 系統電RD 出差</t>
    <phoneticPr fontId="1" type="noConversion"/>
  </si>
  <si>
    <t>遠品</t>
    <phoneticPr fontId="1" type="noConversion"/>
  </si>
  <si>
    <t>盧老闆</t>
    <phoneticPr fontId="1" type="noConversion"/>
  </si>
  <si>
    <t>Venessa</t>
    <phoneticPr fontId="1" type="noConversion"/>
  </si>
  <si>
    <t>詢問MINMAX價格 基本上單價沒有170就不用玩了</t>
    <phoneticPr fontId="1" type="noConversion"/>
  </si>
  <si>
    <t>算是機構件採購，大多都是買Murata的converter重視質量，但是還是會在進口品牌中挑便宜的。
協助將資料轉給電子料採購部門。</t>
    <phoneticPr fontId="1" type="noConversion"/>
  </si>
  <si>
    <t>BBU沒有電子電路的設計只有電池都是客戶端自己做電控，BMS的部分請找#5240 黃r</t>
    <phoneticPr fontId="1" type="noConversion"/>
  </si>
  <si>
    <t>黃r</t>
    <phoneticPr fontId="1" type="noConversion"/>
  </si>
  <si>
    <t>確認MOS價格，問MOQ我回一箱2250pcs，他要跟陳同皇討論一下。</t>
    <phoneticPr fontId="1" type="noConversion"/>
  </si>
  <si>
    <t>Dora 採購</t>
    <phoneticPr fontId="1" type="noConversion"/>
  </si>
  <si>
    <t>審廠改成耀迅去Proposal自有品牌，告知9/18要參觀工廠還是可以安排。</t>
    <phoneticPr fontId="1" type="noConversion"/>
  </si>
  <si>
    <t>開會中，未接。</t>
    <phoneticPr fontId="1" type="noConversion"/>
  </si>
  <si>
    <t>2026年美國法規規定RV車每台都要有接市電的總開關裝置，法規上路估計量會很大，他們設計用Relay做L1、L2、N、G的開關，AC/DC會自己用MOS接電壓80~263切+-15V，推薦用RECOM省得自己做。</t>
    <phoneticPr fontId="1" type="noConversion"/>
  </si>
  <si>
    <t>李宗融 技術處長</t>
    <phoneticPr fontId="1" type="noConversion"/>
  </si>
  <si>
    <t>1. FF300R12MS4嘗試啟動替代品
2. DC Load導入</t>
    <phoneticPr fontId="1" type="noConversion"/>
  </si>
  <si>
    <t>1. 與王國政、王藝錡通話討論
2. 與蔣興文、Jordan、韓工視訊會議</t>
    <phoneticPr fontId="1" type="noConversion"/>
  </si>
  <si>
    <t>1. 目前是Only Source沒錯，但沒有立即痛點，王藝錡希望有個初步的模擬規格書大家再來討論。
2. 視訊會議有達成共識，互相知道對方後續作法，原有意要審廠，要改成用約時間做Proposal的方式，參訪工廠還是可以安排。</t>
    <phoneticPr fontId="1" type="noConversion"/>
  </si>
  <si>
    <t>1. 我會請羅工這邊先挑選是否有適合的芯片。
2. 準備簡報、約會議時間</t>
    <phoneticPr fontId="1" type="noConversion"/>
  </si>
  <si>
    <t>金頓科技</t>
    <phoneticPr fontId="1" type="noConversion"/>
  </si>
  <si>
    <t>羅貴瀧經理</t>
    <phoneticPr fontId="1" type="noConversion"/>
  </si>
  <si>
    <t>振動測試儀器的功率放大器電路板、太陽光模擬器電路板委託外面設計，他們只做機電整合。</t>
    <phoneticPr fontId="1" type="noConversion"/>
  </si>
  <si>
    <t>振儀科技</t>
    <phoneticPr fontId="1" type="noConversion"/>
  </si>
  <si>
    <t>Daniel 採購經理</t>
    <phoneticPr fontId="1" type="noConversion"/>
  </si>
  <si>
    <t>振動測試機有分機械式的、變頻控制的，變頻控制的裡面會有功率放大器(外購)，櫃體裡面有用IGBT模組，但實際應用就不知道了，技術人員都外出，先發資料。</t>
    <phoneticPr fontId="1" type="noConversion"/>
  </si>
  <si>
    <t>臺威科技</t>
    <phoneticPr fontId="1" type="noConversion"/>
  </si>
  <si>
    <t>網站上寫自己製造開發，實際是買進口產品賣</t>
    <phoneticPr fontId="1" type="noConversion"/>
  </si>
  <si>
    <t>業務</t>
    <phoneticPr fontId="1" type="noConversion"/>
  </si>
  <si>
    <t>振弘檢測設備(Talent)</t>
    <phoneticPr fontId="1" type="noConversion"/>
  </si>
  <si>
    <t>詢問振動測試臺，台灣單純銷售點，大陸工廠主導、生產、設計。</t>
    <phoneticPr fontId="1" type="noConversion"/>
  </si>
  <si>
    <t>黃先生</t>
    <phoneticPr fontId="1" type="noConversion"/>
  </si>
  <si>
    <t>BMS都用Infineon SiC MOS，因為要0V關斷有負VGS的電池沒辦法使用，防逆二極體用SMD SNC包裝的。之前有想找過RECOM但找不到代理商，後來都用Vicor、Murata等進口品牌，9月底可以碰個面，近期因為BBU市場蓬勃，一堆材料供應商約碰面行程很滿。現在生意主體量來自NoteBook電池，伺服器BBU單價高這幾年起量，少量做ESS(國外生意)、電動腳踏車電池。</t>
    <phoneticPr fontId="1" type="noConversion"/>
  </si>
  <si>
    <t>華城</t>
    <phoneticPr fontId="1" type="noConversion"/>
  </si>
  <si>
    <t>蔡r</t>
    <phoneticPr fontId="1" type="noConversion"/>
  </si>
  <si>
    <t>人外出</t>
    <phoneticPr fontId="1" type="noConversion"/>
  </si>
  <si>
    <t>田先生</t>
    <phoneticPr fontId="1" type="noConversion"/>
  </si>
  <si>
    <t>人不在座位上</t>
    <phoneticPr fontId="1" type="noConversion"/>
  </si>
  <si>
    <t>立德電子</t>
    <phoneticPr fontId="1" type="noConversion"/>
  </si>
  <si>
    <t>許元耀</t>
    <phoneticPr fontId="1" type="noConversion"/>
  </si>
  <si>
    <t>張先生</t>
    <phoneticPr fontId="1" type="noConversion"/>
  </si>
  <si>
    <t>AC 樁RD 有用Relay 40A 輔助接點</t>
    <phoneticPr fontId="1" type="noConversion"/>
  </si>
  <si>
    <t>偏不耐煩，以前有代理商推過了，會用到RECOM的機會很少，其他一般的用明緯就好，冷門應用的才會用RECOM，有需要再找我。</t>
    <phoneticPr fontId="1" type="noConversion"/>
  </si>
  <si>
    <t>台灣電能</t>
    <phoneticPr fontId="1" type="noConversion"/>
  </si>
  <si>
    <t>王新傳</t>
    <phoneticPr fontId="1" type="noConversion"/>
  </si>
  <si>
    <t>確認MMG200S060B6TC，目前就壞兩顆，兩台個壞一顆，9月會繼續把他組完測試，有空過去把那兩顆拿回來做分析。</t>
    <phoneticPr fontId="1" type="noConversion"/>
  </si>
  <si>
    <t>友通資訊</t>
    <phoneticPr fontId="1" type="noConversion"/>
  </si>
  <si>
    <t>Frank RD leader</t>
    <phoneticPr fontId="1" type="noConversion"/>
  </si>
  <si>
    <t>研揚科技</t>
    <phoneticPr fontId="1" type="noConversion"/>
  </si>
  <si>
    <t>Jake lee</t>
    <phoneticPr fontId="1" type="noConversion"/>
  </si>
  <si>
    <t>Sophie IQC</t>
    <phoneticPr fontId="1" type="noConversion"/>
  </si>
  <si>
    <t>未接#138</t>
    <phoneticPr fontId="1" type="noConversion"/>
  </si>
  <si>
    <t>討論過去MOS篩選的情況</t>
    <phoneticPr fontId="1" type="noConversion"/>
  </si>
  <si>
    <t>大部分Converter都自己有一個Power部門設計，少數特殊案子不好起量的會外購，網通設備大部分都會用到</t>
    <phoneticPr fontId="1" type="noConversion"/>
  </si>
  <si>
    <t>用TI的IC，做工業電腦，他是負責設計主機板的RD Leader。下週碰面，想問RPL-20，新案子考慮要用。</t>
    <phoneticPr fontId="1" type="noConversion"/>
  </si>
  <si>
    <t>賴文濱</t>
    <phoneticPr fontId="1" type="noConversion"/>
  </si>
  <si>
    <t>明天14:00碰面</t>
    <phoneticPr fontId="1" type="noConversion"/>
  </si>
  <si>
    <t>1SiC一樣要兜到1600A/1700V，並聯，選定1700V。
2. Inrush電流討論，申請宏發樣品5~8pcs
3.DC-DC Converter選Minmax是因為交期，Minmax價格也沒有特別差，不是重要部件，所以沒有挑特別貴的。</t>
    <phoneticPr fontId="1" type="noConversion"/>
  </si>
  <si>
    <t>只有做AC樁，用松川Power Relay 35A，一年先在量越來越少，出100台了不起了。</t>
    <phoneticPr fontId="1" type="noConversion"/>
  </si>
  <si>
    <t>#3617 不在座位上 工業電腦</t>
    <phoneticPr fontId="1" type="noConversion"/>
  </si>
  <si>
    <t>工業電腦主機板設計，POWER Team在管這些不知道，不願意介紹人給我。</t>
    <phoneticPr fontId="1" type="noConversion"/>
  </si>
  <si>
    <t>新漢</t>
    <phoneticPr fontId="1" type="noConversion"/>
  </si>
  <si>
    <t>王奕翔 EE RD</t>
    <phoneticPr fontId="1" type="noConversion"/>
  </si>
  <si>
    <t>謝俊正 Power RD</t>
    <phoneticPr fontId="1" type="noConversion"/>
  </si>
  <si>
    <t>網通設備部門 Power team自己兜DC-DC</t>
    <phoneticPr fontId="1" type="noConversion"/>
  </si>
  <si>
    <t>工業電腦部門 因為瓦數小，都是自己設計DC-DC</t>
    <phoneticPr fontId="1" type="noConversion"/>
  </si>
  <si>
    <t>凌華科技</t>
    <phoneticPr fontId="1" type="noConversion"/>
  </si>
  <si>
    <t>陳信宇 RD</t>
    <phoneticPr fontId="1" type="noConversion"/>
  </si>
  <si>
    <t>公司已下班</t>
    <phoneticPr fontId="1" type="noConversion"/>
  </si>
  <si>
    <t>與零工、廠工、IQC碰面，討論MOS過去歷史</t>
    <phoneticPr fontId="1" type="noConversion"/>
  </si>
  <si>
    <t>Present致茂自有品牌與MOS產品線</t>
    <phoneticPr fontId="1" type="noConversion"/>
  </si>
  <si>
    <t>10月要測2nd Source。 star power已測過，芯能價格較差不跟他玩，獅門價格太便宜不敢用。斯達跟獅門都是孚佑給的。</t>
    <phoneticPr fontId="1" type="noConversion"/>
  </si>
  <si>
    <t>樂意見面，但因為真的忙到沒時間怕我跑下去新竹卻只能聊一下下。</t>
    <phoneticPr fontId="1" type="noConversion"/>
  </si>
  <si>
    <t>1. 與羅工討論規格。
2. 與致茂開會做簡報。</t>
    <phoneticPr fontId="1" type="noConversion"/>
  </si>
  <si>
    <t>1. 要做到66Khz開關速度的IGBT芯片不是那麼好挑，可能要花一點時間挑選。
2. 與各相關部門的主管簡報，看來他們並不是非常懂如何審核一個公司、工廠，目前風向是要導我司產品，但各部門的人需要給公司上層一個交代說為什麼要用一個不知名品牌。</t>
    <phoneticPr fontId="1" type="noConversion"/>
  </si>
  <si>
    <t>目前專心安排訪廠行程，預計有RD、FAE、品保一同參與。</t>
    <phoneticPr fontId="1" type="noConversion"/>
  </si>
  <si>
    <t>吳東興</t>
    <phoneticPr fontId="1" type="noConversion"/>
  </si>
  <si>
    <t>凌華</t>
    <phoneticPr fontId="1" type="noConversion"/>
  </si>
  <si>
    <t>陳信宇</t>
    <phoneticPr fontId="1" type="noConversion"/>
  </si>
  <si>
    <t>真的找不到任何光寶RD的郵件，都是對技服</t>
    <phoneticPr fontId="1" type="noConversion"/>
  </si>
  <si>
    <t>17060鎖電容用Busbar</t>
    <phoneticPr fontId="1" type="noConversion"/>
  </si>
  <si>
    <t>日立永大</t>
    <phoneticPr fontId="1" type="noConversion"/>
  </si>
  <si>
    <t>張興三</t>
    <phoneticPr fontId="1" type="noConversion"/>
  </si>
  <si>
    <t>給Gate Driver的電基本上用輔助電源RCC迴路。</t>
    <phoneticPr fontId="1" type="noConversion"/>
  </si>
  <si>
    <t>盟立自動化</t>
    <phoneticPr fontId="1" type="noConversion"/>
  </si>
  <si>
    <t>劉興昌</t>
    <phoneticPr fontId="1" type="noConversion"/>
  </si>
  <si>
    <t>目前POWER的部分都要外包了(包含機器人、自走車)，會與外包廠共同設計，請我發郵件給他跟李建昌，會請廠商一起評估。</t>
    <phoneticPr fontId="1" type="noConversion"/>
  </si>
  <si>
    <t>儲盈科技</t>
    <phoneticPr fontId="1" type="noConversion"/>
  </si>
  <si>
    <t>洪小姐 採購</t>
    <phoneticPr fontId="1" type="noConversion"/>
  </si>
  <si>
    <t>目前BMS相關的或電源調節都是外包去做的，未來不排除自己做但是沒那麼快。</t>
    <phoneticPr fontId="1" type="noConversion"/>
  </si>
  <si>
    <t>帝馬動力科技</t>
    <phoneticPr fontId="1" type="noConversion"/>
  </si>
  <si>
    <t>BMS</t>
    <phoneticPr fontId="1" type="noConversion"/>
  </si>
  <si>
    <t>來穎科技</t>
    <phoneticPr fontId="1" type="noConversion"/>
  </si>
  <si>
    <t>儲能電池、BMS設計</t>
    <phoneticPr fontId="1" type="noConversion"/>
  </si>
  <si>
    <t>蔡曜隆</t>
    <phoneticPr fontId="1" type="noConversion"/>
  </si>
  <si>
    <t>李宗融 處長</t>
    <phoneticPr fontId="1" type="noConversion"/>
  </si>
  <si>
    <t>環隆科技</t>
    <phoneticPr fontId="1" type="noConversion"/>
  </si>
  <si>
    <t>寧茂</t>
    <phoneticPr fontId="1" type="noConversion"/>
  </si>
  <si>
    <t>韋朝明</t>
    <phoneticPr fontId="1" type="noConversion"/>
  </si>
  <si>
    <t>研揚</t>
    <phoneticPr fontId="1" type="noConversion"/>
  </si>
  <si>
    <t>已下班</t>
    <phoneticPr fontId="1" type="noConversion"/>
  </si>
  <si>
    <t>5HP以下在寧波生產，中大馬力新案子幾乎沿用舊料，替代料事情請我找採購談，有特殊用料要找或技術問題才會跟廠商碰面。</t>
    <phoneticPr fontId="1" type="noConversion"/>
  </si>
  <si>
    <t>李玉民、蘇韋帆</t>
    <phoneticPr fontId="1" type="noConversion"/>
  </si>
  <si>
    <t>楊詠鈞</t>
    <phoneticPr fontId="1" type="noConversion"/>
  </si>
  <si>
    <t>分機手機都未接</t>
    <phoneticPr fontId="1" type="noConversion"/>
  </si>
  <si>
    <t>擎宏</t>
    <phoneticPr fontId="1" type="noConversion"/>
  </si>
  <si>
    <t>林睦鈞</t>
    <phoneticPr fontId="1" type="noConversion"/>
  </si>
  <si>
    <t>採購高小姐</t>
    <phoneticPr fontId="1" type="noConversion"/>
  </si>
  <si>
    <t>蕭小姐 採購</t>
    <phoneticPr fontId="1" type="noConversion"/>
  </si>
  <si>
    <t>李建昌</t>
    <phoneticPr fontId="1" type="noConversion"/>
  </si>
  <si>
    <t>高斯</t>
    <phoneticPr fontId="1" type="noConversion"/>
  </si>
  <si>
    <t>梁先生</t>
    <phoneticPr fontId="1" type="noConversion"/>
  </si>
  <si>
    <t>長園科技</t>
    <phoneticPr fontId="1" type="noConversion"/>
  </si>
  <si>
    <t>張副總</t>
    <phoneticPr fontId="1" type="noConversion"/>
  </si>
  <si>
    <t>慶鴻</t>
    <phoneticPr fontId="1" type="noConversion"/>
  </si>
  <si>
    <t>曾昆輝</t>
    <phoneticPr fontId="1" type="noConversion"/>
  </si>
  <si>
    <t>DC-DC都用博大寬電壓輸入轉3.3V、5V，明緯太爛了</t>
    <phoneticPr fontId="1" type="noConversion"/>
  </si>
  <si>
    <t>偉潤科技</t>
    <phoneticPr fontId="1" type="noConversion"/>
  </si>
  <si>
    <t>威統自動化</t>
    <phoneticPr fontId="1" type="noConversion"/>
  </si>
  <si>
    <t>萬潤</t>
    <phoneticPr fontId="1" type="noConversion"/>
  </si>
  <si>
    <t>全用明緯</t>
    <phoneticPr fontId="1" type="noConversion"/>
  </si>
  <si>
    <t>許僑育</t>
    <phoneticPr fontId="1" type="noConversion"/>
  </si>
  <si>
    <t>六俊</t>
    <phoneticPr fontId="1" type="noConversion"/>
  </si>
  <si>
    <t>廖小姐</t>
    <phoneticPr fontId="1" type="noConversion"/>
  </si>
  <si>
    <t>Dora</t>
    <phoneticPr fontId="1" type="noConversion"/>
  </si>
  <si>
    <t>高小姐</t>
    <phoneticPr fontId="1" type="noConversion"/>
  </si>
  <si>
    <t>吳先生</t>
    <phoneticPr fontId="1" type="noConversion"/>
  </si>
  <si>
    <t>游老闆</t>
    <phoneticPr fontId="1" type="noConversion"/>
  </si>
  <si>
    <t>張魏騰、曾志禾</t>
    <phoneticPr fontId="1" type="noConversion"/>
  </si>
  <si>
    <t>邱靖宏</t>
    <phoneticPr fontId="1" type="noConversion"/>
  </si>
  <si>
    <t>目前無交集點</t>
    <phoneticPr fontId="1" type="noConversion"/>
  </si>
  <si>
    <t>選Switching Regulator，價格未知，需要先探詢客戶自己兜的價格才有概念</t>
    <phoneticPr fontId="1" type="noConversion"/>
  </si>
  <si>
    <t>推DC-DC，過去用CTC現在幾乎都自己設計了，因為自己設計彈性比較好，空間比較省，推宏發的東西，可以看看，再約時間。</t>
    <phoneticPr fontId="1" type="noConversion"/>
  </si>
  <si>
    <t>請她booking林總時間。</t>
    <phoneticPr fontId="1" type="noConversion"/>
  </si>
  <si>
    <t>一直未接</t>
    <phoneticPr fontId="1" type="noConversion"/>
  </si>
  <si>
    <t>李經理 RD</t>
    <phoneticPr fontId="1" type="noConversion"/>
  </si>
  <si>
    <t>Open Frame 500~1KW 客戶是D-Link。RD 推麥思浦MOS，他不用台廠、陸廠，在大陸、越南生產，只有DC-DC在台灣做，忘記問原因，介紹採購給我。</t>
    <phoneticPr fontId="1" type="noConversion"/>
  </si>
  <si>
    <t>講一講請我先發郵件，興趣缺缺</t>
    <phoneticPr fontId="1" type="noConversion"/>
  </si>
  <si>
    <t>約下週三見面。</t>
    <phoneticPr fontId="1" type="noConversion"/>
  </si>
  <si>
    <t>目前San那邊的請購單快下來了，還在等。</t>
    <phoneticPr fontId="1" type="noConversion"/>
  </si>
  <si>
    <t>完整介紹我們新產品線後請我發給他，不透漏現在的情況，要再追逐。</t>
    <phoneticPr fontId="1" type="noConversion"/>
  </si>
  <si>
    <t>林總實在沒空。</t>
    <phoneticPr fontId="1" type="noConversion"/>
  </si>
  <si>
    <t>推DC-DC、PEM，再發郵件。沒有馬上需求。</t>
    <phoneticPr fontId="1" type="noConversion"/>
  </si>
  <si>
    <t>用ITX0524SA(XP POWER)型號，用量不多。</t>
    <phoneticPr fontId="1" type="noConversion"/>
  </si>
  <si>
    <t>張魏騰說要找曾志禾，他不在。</t>
    <phoneticPr fontId="1" type="noConversion"/>
  </si>
  <si>
    <t>下周不一定有空。</t>
    <phoneticPr fontId="1" type="noConversion"/>
  </si>
  <si>
    <t>桃園那邊電控也是他處理，對DC-DC有興趣，下周二上午見面</t>
    <phoneticPr fontId="1" type="noConversion"/>
  </si>
  <si>
    <t>未接。</t>
    <phoneticPr fontId="1" type="noConversion"/>
  </si>
  <si>
    <t>WK37</t>
    <phoneticPr fontId="1" type="noConversion"/>
  </si>
  <si>
    <t>1. FF300R12MS4嘗試啟動替代品
2. DC Load訪廠安排</t>
    <phoneticPr fontId="1" type="noConversion"/>
  </si>
  <si>
    <t>1. 讓羅工加速確認芯片。
2. 與麥思浦相關人員討論當天訪廠情況，並排行程表</t>
    <phoneticPr fontId="1" type="noConversion"/>
  </si>
  <si>
    <t>1. 羅工最晚下週三回覆我。
2. 已排行程表，列出討論事項需找張芳、韓偉討論。</t>
    <phoneticPr fontId="1" type="noConversion"/>
  </si>
  <si>
    <t>致茂新合約處理、訪廠細項與張芳韓偉討論、整體時間訂定。</t>
    <phoneticPr fontId="1" type="noConversion"/>
  </si>
  <si>
    <t>金居</t>
    <phoneticPr fontId="1" type="noConversion"/>
  </si>
  <si>
    <t>康揚</t>
    <phoneticPr fontId="1" type="noConversion"/>
  </si>
  <si>
    <t>盛全</t>
    <phoneticPr fontId="1" type="noConversion"/>
  </si>
  <si>
    <t>馗鼎</t>
    <phoneticPr fontId="1" type="noConversion"/>
  </si>
  <si>
    <t>WK38</t>
    <phoneticPr fontId="1" type="noConversion"/>
  </si>
  <si>
    <t>愛樹</t>
    <phoneticPr fontId="1" type="noConversion"/>
  </si>
  <si>
    <t>慧芯</t>
    <phoneticPr fontId="1" type="noConversion"/>
  </si>
  <si>
    <t>Nick</t>
    <phoneticPr fontId="1" type="noConversion"/>
  </si>
  <si>
    <t>林益華</t>
    <phoneticPr fontId="1" type="noConversion"/>
  </si>
  <si>
    <t>介鴻興</t>
    <phoneticPr fontId="1" type="noConversion"/>
  </si>
  <si>
    <t>蘇韋帆</t>
    <phoneticPr fontId="1" type="noConversion"/>
  </si>
  <si>
    <t>採購廖小姐</t>
    <phoneticPr fontId="1" type="noConversion"/>
  </si>
  <si>
    <t>王淳正</t>
    <phoneticPr fontId="1" type="noConversion"/>
  </si>
  <si>
    <t>李友勝</t>
    <phoneticPr fontId="1" type="noConversion"/>
  </si>
  <si>
    <t>Jocelyn</t>
    <phoneticPr fontId="1" type="noConversion"/>
  </si>
  <si>
    <t>王韻祺</t>
    <phoneticPr fontId="1" type="noConversion"/>
  </si>
  <si>
    <t>梁老闆</t>
    <phoneticPr fontId="1" type="noConversion"/>
  </si>
  <si>
    <t>蔡副處</t>
    <phoneticPr fontId="1" type="noConversion"/>
  </si>
  <si>
    <t>黃介盟</t>
    <phoneticPr fontId="1" type="noConversion"/>
  </si>
  <si>
    <t>鄭先生</t>
    <phoneticPr fontId="1" type="noConversion"/>
  </si>
  <si>
    <t>李景瀚</t>
    <phoneticPr fontId="1" type="noConversion"/>
  </si>
  <si>
    <t>何副理</t>
    <phoneticPr fontId="1" type="noConversion"/>
  </si>
  <si>
    <t>WK39</t>
    <phoneticPr fontId="1" type="noConversion"/>
  </si>
  <si>
    <t>15A目前有Infineon、FUJI、starpower，他沒有理由跟公司申請購樣，他只需要25A2只讓他在10月底有整機的時候做測試可以試裝出去客戶，我決定就出兩顆讓他試試。</t>
    <phoneticPr fontId="1" type="noConversion"/>
  </si>
  <si>
    <t>1.未跟羅工確認芯片狀態。
2. 安排訪廠行程事項。</t>
    <phoneticPr fontId="1" type="noConversion"/>
  </si>
  <si>
    <t>1. 跟羅工確認芯片，沒有就沒有趕快決定。
2. 致茂資料回覆、訪廠前準備齊全</t>
    <phoneticPr fontId="1" type="noConversion"/>
  </si>
  <si>
    <t>目前Converter IC(TI)、LDO、Cuk加起來約NTD45，而RECOM的Switching regulator 可能要300元以上(售價)，要跟Jake確認300元左右他是否能接受。</t>
    <phoneticPr fontId="1" type="noConversion"/>
  </si>
  <si>
    <t>請我找許協理</t>
    <phoneticPr fontId="1" type="noConversion"/>
  </si>
  <si>
    <t>討論Relay事項</t>
    <phoneticPr fontId="1" type="noConversion"/>
  </si>
  <si>
    <t>控制板設計部門，AC-DC、DC-DC都是這個部門設計的，問我有沒有48V-&gt;19V產品，初步看RECOM沒有，約見面認識。</t>
    <phoneticPr fontId="1" type="noConversion"/>
  </si>
  <si>
    <t>目前都是用IC，沒有用Module式的，未來看狀況可能考慮，請我寄資料給他看。不考慮花時間跟他玩。</t>
    <phoneticPr fontId="1" type="noConversion"/>
  </si>
  <si>
    <t>約訪，但她人要外出都不到時間。</t>
    <phoneticPr fontId="1" type="noConversion"/>
  </si>
  <si>
    <t>1. 抽風機IGBT：20、30HP(100A、150A)目前客戶還沒有訂單需求，還不會出出去，75A IGBT組好了目前政要陸續出，其他可能會用GHD封裝做50A，目前還沒有要動。
2. DC-DC：驅動器都是用Buck IC 48V轉12V給Gate Driver、LDO再轉3.3Vor5V給MCU，無隔離需求不考慮Module，太貴，EMI會很難設計。
桃園還有無人機BLDC案子，可以考慮Switching Regulator (LGA包裝)48V(耐75V)轉12V，最好是多組輸出可以省掉LDO(轉3.3V/5V)，空間可以縮小，傳規格書給他看。
目前看起來沒有多組輸出，就看邱怎麼考慮，有要用大家再來看成本。</t>
    <phoneticPr fontId="1" type="noConversion"/>
  </si>
  <si>
    <t>約隔天碰面</t>
    <phoneticPr fontId="1" type="noConversion"/>
  </si>
  <si>
    <t>談HF176F樣品事宜，目前因為時間壓力關係可能會先直接買70pcs左右的樣品，因為至少要做12台樣機，想先確認線圈電壓設計細節。
原先Alan說長時間12V沒問題，後來與FAE楊工確認後，考慮澤碩環溫可能到85度，周五下午重新建議Ronald要降到50~60%的線圈電壓。</t>
    <phoneticPr fontId="1" type="noConversion"/>
  </si>
  <si>
    <t>1. IGBT：因為RG、電容要改，考慮到維修板子情況不考慮使用現有版本，若我司產品開關速度可以慢一些，接近Infineon到不需調整輸入電容、RG值，他會直接試一批跟客戶。
2. 150A IGBT下一批要明年才會下，整流橋年底會在下一批。</t>
    <phoneticPr fontId="1" type="noConversion"/>
  </si>
  <si>
    <t>東興請幾天假，週一回來。</t>
    <phoneticPr fontId="1" type="noConversion"/>
  </si>
  <si>
    <t>目前只能約雙十過後，先Booking10/14，目前沒有立即考慮RECOM的痛點。</t>
    <phoneticPr fontId="1" type="noConversion"/>
  </si>
  <si>
    <t>1. 目前有案子30A/650V IGBT(NTD18)量比40A/1200V多約5kpcs、75A/650V(2USD多)量比40A/1200V少約1~2Kpcs，推薦MM40G3U65B、MM75G3T65B，會拿樣品給他試。
2. 目前有透過貿易商買宏發HF165F(輸入inrush大台滅弧、輸出搭接)一台用2或4顆，目前買30幾元，我們30就可以賣了，待報價。</t>
    <phoneticPr fontId="1" type="noConversion"/>
  </si>
  <si>
    <t>人不在</t>
    <phoneticPr fontId="1" type="noConversion"/>
  </si>
  <si>
    <t>目前由台達完整A-D、D-D一條龍配合，被台達包辦，會用其他品的用量及狀況不清，目前未有切入點。</t>
    <phoneticPr fontId="1" type="noConversion"/>
  </si>
  <si>
    <t>1. MMF300S060DK2B會3個月下一次，取消掉現金折扣。
2. 栓型FRD明年會幾乎都用我們的，報100pcs價格
3. IGBT明年試新機，要再跟曾副總談。</t>
    <phoneticPr fontId="1" type="noConversion"/>
  </si>
  <si>
    <t>見面時何總無預警出現，討論方向偏題，答應何總會認真釐清這次失效原因。後來王宋我們出去時，我跟他討論，我達新方案是可以傳規格書給他，但是他認為快速型的IGBT他很有可能試起來不太行，我們先把這次200A失效的報告出來後再看情況要不要考慮額外方案，但這次宏微的失效分析要盯、請他們提供出廠的報告。
1. 100A、150A目前出去的會觀察一年，明年Q2底、Q3出會再做更多出去。
2. MMF300S120B目前廠內測都是OK，但機子還未出去，出去也是觀察期一年。
3. 600AIGBT生意還未有消息，目前沒訂單，還不確定什麼時候會下。
當天氣氛不適合討論推進，我只能問個大概，不好意思要求承諾。
宏微失效要做急件，中秋送禮時我希望給何總一個交代。</t>
    <phoneticPr fontId="1" type="noConversion"/>
  </si>
  <si>
    <t>萬潤目前被動元件機生意很糟，很多人力都調動了，主力還是在點膠機、貼合機，因為設備單價都很高所以一年用量都不大。大部分都是明緯用A-D直接24V，少數用MINMAX量體極低，有在問兩種東西：
1. A-D 110、220V轉156V (48V 4串) 10~20A 點膠機用 一台1萬，一年約小於100台
2. 48V轉19V 5、6A給NUC(迷你電腦) 巡檢型AGV 一年頂多10台。
目前要的東西特殊且量少，萬潤可能不是我們的目標客戶。</t>
    <phoneticPr fontId="1" type="noConversion"/>
  </si>
  <si>
    <t>線材加熱機，要用FY做漣漪電流輸出，一台用10顆，報5台數量，要出泰國有機會起量。橋整推MMD110A160B、IGBT推MMG150D120B6TC(頻率2Khz)，都是全橋架構。
另外之前談的項目要等有案子才會做。</t>
    <phoneticPr fontId="1" type="noConversion"/>
  </si>
  <si>
    <t>目前看DC-DC應該沒有太大的切入點或痛點。</t>
    <phoneticPr fontId="1" type="noConversion"/>
  </si>
  <si>
    <t>1. SCR報價看看，2000A左右，約一年用20~30pcs。(韓國機台常壞)
2. 問我司有沒有光纖直流探棒
https://www.swt-oi.com/211.html</t>
    <phoneticPr fontId="1" type="noConversion"/>
  </si>
  <si>
    <t>WK40</t>
    <phoneticPr fontId="1" type="noConversion"/>
  </si>
  <si>
    <t>陳俊佑</t>
    <phoneticPr fontId="1" type="noConversion"/>
  </si>
  <si>
    <t>黃寬朗</t>
    <phoneticPr fontId="1" type="noConversion"/>
  </si>
  <si>
    <t>黃信貿</t>
    <phoneticPr fontId="1" type="noConversion"/>
  </si>
  <si>
    <t>廖仁川</t>
    <phoneticPr fontId="1" type="noConversion"/>
  </si>
  <si>
    <t>問資訊</t>
    <phoneticPr fontId="1" type="noConversion"/>
  </si>
  <si>
    <t>科風</t>
    <phoneticPr fontId="1" type="noConversion"/>
  </si>
  <si>
    <t>合擴</t>
    <phoneticPr fontId="1" type="noConversion"/>
  </si>
  <si>
    <t>Wendy</t>
    <phoneticPr fontId="1" type="noConversion"/>
  </si>
  <si>
    <t>Candy</t>
    <phoneticPr fontId="1" type="noConversion"/>
  </si>
  <si>
    <t>請她booking陳順吉時間下周二14:30</t>
    <phoneticPr fontId="1" type="noConversion"/>
  </si>
  <si>
    <t>下週二9:30</t>
    <phoneticPr fontId="1" type="noConversion"/>
  </si>
  <si>
    <t>下周二10:30</t>
    <phoneticPr fontId="1" type="noConversion"/>
  </si>
  <si>
    <t>東莞頂茂(澤碩)</t>
    <phoneticPr fontId="1" type="noConversion"/>
  </si>
  <si>
    <t>楊勇</t>
    <phoneticPr fontId="1" type="noConversion"/>
  </si>
  <si>
    <t>Jason</t>
    <phoneticPr fontId="1" type="noConversion"/>
  </si>
  <si>
    <t>王韻棋</t>
    <phoneticPr fontId="1" type="noConversion"/>
  </si>
  <si>
    <t>Grace、陳同皇</t>
    <phoneticPr fontId="1" type="noConversion"/>
  </si>
  <si>
    <t>下週四下午13:30</t>
    <phoneticPr fontId="1" type="noConversion"/>
  </si>
  <si>
    <t>下週四下午15:00</t>
    <phoneticPr fontId="1" type="noConversion"/>
  </si>
  <si>
    <t>討論線圈電壓技術問題(已解決)</t>
    <phoneticPr fontId="1" type="noConversion"/>
  </si>
  <si>
    <t>Hipot機、舊機種的DC Load會在他這邊生產，有依些料轉移至大陸購買，無法轉的他會從台灣寄過來，他負責IQC+採購。63224A預計也會轉移至中茂生產</t>
    <phoneticPr fontId="1" type="noConversion"/>
  </si>
  <si>
    <t>17060都沒有使用絕緣銅條，因為這台體積比較小，所以用軟銅排解決。Busbar只會有這個</t>
    <phoneticPr fontId="1" type="noConversion"/>
  </si>
  <si>
    <t>250pcs訂單處理</t>
    <phoneticPr fontId="1" type="noConversion"/>
  </si>
  <si>
    <t>昶泓</t>
    <phoneticPr fontId="1" type="noConversion"/>
  </si>
  <si>
    <t>永大</t>
    <phoneticPr fontId="1" type="noConversion"/>
  </si>
  <si>
    <t>Barry</t>
    <phoneticPr fontId="1" type="noConversion"/>
  </si>
  <si>
    <t>原本E21SM120Z、E32SM120Z因為VGS 15V確定不測，未來會改以VGS 18V為主，已發E18SMLV-120K規格書。</t>
    <phoneticPr fontId="1" type="noConversion"/>
  </si>
  <si>
    <t>很多用料大多都是從台灣代理商發貨到香港集運他們自己報關收料，大多票期都90天，聽起來跟台灣代理商互動很熟悉。 此次樣品是收到澤碩這邊請他們幫忙買樣品寄過去，我跟他說我直接跟他們談台灣交付即可。</t>
    <phoneticPr fontId="1" type="noConversion"/>
  </si>
  <si>
    <t>跟他解釋從台灣買樣品的方便，他會幫我處理。</t>
    <phoneticPr fontId="1" type="noConversion"/>
  </si>
  <si>
    <t>因為接近中午就要搭飛機，今天碰不了面。
目前62450D的用VGS 15V 有測AOS作為2nd Source跟Wolfspeed共用，11、12月時會將板子改為VGS 18V產品做測試鋪成未來將15V(選擇太少)改掉，未來新機種也會以VGS 18V產品為主，目前有On、Ween、AOS等18V產品待測試。
他看完E18SMLV-120K規格認為這顆性能很好，他有興趣說Q4會跟我申請樣品，後來就是一直在問我售服的事情，我跟他分享訪廠、失效分析等經驗。
年底會提案一個低壓大電流新案，請我推薦650V低電阻的TO-247-4L產品(電流越大越好)，目前才準備開始sourcing而已，因為他要去趕飛機後來沒有聊太多。</t>
    <phoneticPr fontId="1" type="noConversion"/>
  </si>
  <si>
    <t>再跟Ronald解釋一次為什麼他們要從台灣買比較方便，他接受。他告訴我他也同時在考慮高登、松川的產品，未來很可能是大家分量的情況。若UL2299GMI上路量就會很大，保守估計一年會有32萬台車，預計2026年中Release。</t>
    <phoneticPr fontId="1" type="noConversion"/>
  </si>
  <si>
    <t>接起來剛好在開會，下週再聯繫。</t>
    <phoneticPr fontId="1" type="noConversion"/>
  </si>
  <si>
    <t>下周三9:30</t>
    <phoneticPr fontId="1" type="noConversion"/>
  </si>
  <si>
    <t>1. 羅工確定沒有可以撐到66kHz的IGBT芯片，此案先到此。
2. 到華微訪廠。</t>
    <phoneticPr fontId="1" type="noConversion"/>
  </si>
  <si>
    <t>帶致茂人員實際到華微訪廠，EAS問題已暫時擺平，剩下訪廠後資料補充，以及供應商評鑑資料補齊。</t>
    <phoneticPr fontId="1" type="noConversion"/>
  </si>
  <si>
    <t>1. 供應商評鑑資料發出。
2. 訪廠後補充資料跟麥思浦補齊。
3. 週三與王國政碰面。</t>
    <phoneticPr fontId="1" type="noConversion"/>
  </si>
  <si>
    <t>蔣興文、李冠宏、黃信貿</t>
    <phoneticPr fontId="1" type="noConversion"/>
  </si>
  <si>
    <t>帶致茂人員訪廠。</t>
    <phoneticPr fontId="1" type="noConversion"/>
  </si>
  <si>
    <t>東興</t>
    <phoneticPr fontId="1" type="noConversion"/>
  </si>
  <si>
    <t>黃進聰</t>
    <phoneticPr fontId="1" type="noConversion"/>
  </si>
  <si>
    <t>李月姬</t>
    <phoneticPr fontId="1" type="noConversion"/>
  </si>
  <si>
    <t>討論Relay老化問題，技術討論。</t>
    <phoneticPr fontId="1" type="noConversion"/>
  </si>
  <si>
    <t>黃進聰、李月姬</t>
    <phoneticPr fontId="1" type="noConversion"/>
  </si>
  <si>
    <t>黃建興</t>
    <phoneticPr fontId="1" type="noConversion"/>
  </si>
  <si>
    <t>林聯冀</t>
    <phoneticPr fontId="1" type="noConversion"/>
  </si>
  <si>
    <t>張興三、陳信宏</t>
    <phoneticPr fontId="1" type="noConversion"/>
  </si>
  <si>
    <t>盧宥紘</t>
    <phoneticPr fontId="1" type="noConversion"/>
  </si>
  <si>
    <t>王國政、David</t>
    <phoneticPr fontId="1" type="noConversion"/>
  </si>
  <si>
    <t>週二下午2:30</t>
    <phoneticPr fontId="1" type="noConversion"/>
  </si>
  <si>
    <t>週二下午1:30</t>
    <phoneticPr fontId="1" type="noConversion"/>
  </si>
  <si>
    <t>沒空見面，要去中南部出差。</t>
    <phoneticPr fontId="1" type="noConversion"/>
  </si>
  <si>
    <t>Relay下週會開始測，測完後會先試1~2台驗證。SiC目前都還在測試單元件能力，還未測板子，預計今年要轉換，先看他Relay會不會買樣品在考慮要不要給他SiC樣品。</t>
    <phoneticPr fontId="1" type="noConversion"/>
  </si>
  <si>
    <t>中山冠宏在大陸又找經銷商用Wendy買的價格去壓價格，Wendy直接放棄幫大陸買料。目前可能剩台灣的需求可以給我們，我認為還是要跟宏微反映一下這件事情。</t>
    <phoneticPr fontId="1" type="noConversion"/>
  </si>
  <si>
    <t>送禮拜訪，討論年度議價事宜。</t>
    <phoneticPr fontId="1" type="noConversion"/>
  </si>
  <si>
    <t>討論電池測試部門現在整體銅條、Busbar的用況，銅條改料的事情很急請我要趕快上Portal處理訂製件的資料填寫。</t>
    <phoneticPr fontId="1" type="noConversion"/>
  </si>
  <si>
    <t>與Candy碰面，陳總原本要來但因在客戶那邊延誤來不及過來。目前IGBT Discrete統一用Infineon 60A/1200V。PIM富士三菱都買了很多庫存，英飛凌PIM過來降價賣合擴，合擴可以直接平替不用換RG。三菱不打算測T系列要等8代，我認為很不實際。要想辦法在跟陳總約到碰面。</t>
    <phoneticPr fontId="1" type="noConversion"/>
  </si>
  <si>
    <t>45KW新案目前他不會再參與，有提到另一個料是找大陸品牌，是希望有2個source。情況非常不妙，必須要趕快知道競爭對手的資訊。</t>
    <phoneticPr fontId="1" type="noConversion"/>
  </si>
  <si>
    <t>送禮，目前系統被入侵資料都被掏空，登不進去都無法做事。</t>
    <phoneticPr fontId="1" type="noConversion"/>
  </si>
  <si>
    <t>週三11:00</t>
    <phoneticPr fontId="1" type="noConversion"/>
  </si>
  <si>
    <t>週三3:00</t>
    <phoneticPr fontId="1" type="noConversion"/>
  </si>
  <si>
    <t>目前案子規格還沒訂出來，估計要到11月。</t>
    <phoneticPr fontId="1" type="noConversion"/>
  </si>
  <si>
    <t>有用Relay但是數量很少，目前有使用大陸二線廠牌，從大陸公司進來台灣。DC/DC都是自己用IC設計，鐵粉芯明年才會買。</t>
    <phoneticPr fontId="1" type="noConversion"/>
  </si>
  <si>
    <t>盧張興三一般梯的Diode給我做，約了一位陳信宏工程師跟我談，會給我Sanrex的所有型號、用量、價格。我來報價。</t>
    <phoneticPr fontId="1" type="noConversion"/>
  </si>
  <si>
    <t>討論新櫃體並櫃Busbar，周五要直接去看實體，請David周四先發給我資訊。</t>
    <phoneticPr fontId="1" type="noConversion"/>
  </si>
  <si>
    <t>宣光</t>
    <phoneticPr fontId="1" type="noConversion"/>
  </si>
  <si>
    <t>1. DC Load MOS案推動</t>
    <phoneticPr fontId="1" type="noConversion"/>
  </si>
  <si>
    <t>與建興、柏彥碰面</t>
    <phoneticPr fontId="1" type="noConversion"/>
  </si>
  <si>
    <t>致茂目前同時也在測試麥思浦，目前整個案子有極大的危機是來自於麥思浦的立場。</t>
    <phoneticPr fontId="1" type="noConversion"/>
  </si>
  <si>
    <t>與Darren、Kent跟麥思浦對談此事，若是麥思浦刻意舖兩條線，我們就馬上停止此案。</t>
    <phoneticPr fontId="1" type="noConversion"/>
  </si>
  <si>
    <t>郭柏彥</t>
    <phoneticPr fontId="1" type="noConversion"/>
  </si>
  <si>
    <t>陳信宏</t>
    <phoneticPr fontId="1" type="noConversion"/>
  </si>
  <si>
    <t>David</t>
    <phoneticPr fontId="1" type="noConversion"/>
  </si>
  <si>
    <t>與陳同皇分享我們帶致茂訪廠與MOS導入情況，他認為目前這款Trench因為剛出來沒多久他不敢試，Grace 因為票期不優他認為他寧願拿我的價格去跟代理商殺價，目前沒有談出有建設性的事情。我過一陣子可能再嘗試看看能不能談條件，不然這個客戶沒有再推進的機會。</t>
    <phoneticPr fontId="1" type="noConversion"/>
  </si>
  <si>
    <t>目前Semikron主動壓價格接近，讓新竹決定之後都買Semikron，必須再去新竹那邊主動建立起。</t>
    <phoneticPr fontId="1" type="noConversion"/>
  </si>
  <si>
    <t>目前同時在測麥思浦，目前手上在測試2000pcs，還有3000pcs未交單，準備先組個5台。已將此事跟麥思浦表態，目前要看麥思浦態度及決定如何，影響我們要不要繼續此案。</t>
    <phoneticPr fontId="1" type="noConversion"/>
  </si>
  <si>
    <t>主力還是三相整流橋，半橋二極體用量極少，大概有三款都可以MMD100EB160X替代，待報價，此案會用力黏著。</t>
    <phoneticPr fontId="1" type="noConversion"/>
  </si>
  <si>
    <t>鵬飛</t>
    <phoneticPr fontId="1" type="noConversion"/>
  </si>
  <si>
    <t>直接實際現場去看目前直流系統並櫃方案的匯流排配置，直接跟劉黎明視訊給他看，目標要降電感、阻抗，最好可以模組化。等David、莊經理把圖發出來，我們會請博雅發想方案。</t>
    <phoneticPr fontId="1" type="noConversion"/>
  </si>
  <si>
    <t>新案63745HF要用AC IN Busbar，請我初步報價。要再找蘇嗣傑談談。</t>
    <phoneticPr fontId="1" type="noConversion"/>
  </si>
  <si>
    <t>積奇</t>
    <phoneticPr fontId="1" type="noConversion"/>
  </si>
  <si>
    <t>漳毅</t>
    <phoneticPr fontId="1" type="noConversion"/>
  </si>
  <si>
    <t>黃則宣</t>
    <phoneticPr fontId="1" type="noConversion"/>
  </si>
  <si>
    <t>玉豐海洋科儀</t>
    <phoneticPr fontId="1" type="noConversion"/>
  </si>
  <si>
    <t>聯昌電子</t>
    <phoneticPr fontId="1" type="noConversion"/>
  </si>
  <si>
    <t>李政聰</t>
    <phoneticPr fontId="1" type="noConversion"/>
  </si>
  <si>
    <t>蘇嗣傑</t>
    <phoneticPr fontId="1" type="noConversion"/>
  </si>
  <si>
    <t>林經理</t>
    <phoneticPr fontId="1" type="noConversion"/>
  </si>
  <si>
    <t>陳先生 RD</t>
    <phoneticPr fontId="1" type="noConversion"/>
  </si>
  <si>
    <t>林明志</t>
    <phoneticPr fontId="1" type="noConversion"/>
  </si>
  <si>
    <t>介盟</t>
    <phoneticPr fontId="1" type="noConversion"/>
  </si>
  <si>
    <t>周五請假不能碰面，約雙十過後碰面，10/13確認時間。</t>
    <phoneticPr fontId="1" type="noConversion"/>
  </si>
  <si>
    <t>未接，LINE上面說整週人都在代工廠無法碰面。</t>
    <phoneticPr fontId="1" type="noConversion"/>
  </si>
  <si>
    <t>與林經理碰面，60A、110A、200A預計會先排各200pcs試小批量，330最大量試交給矽品半導體廠，那個有簽用料協議的不容易換，其他客戶是用我們的，目前還有庫存。600A馬達緩啟動是有訂單下料，目前不會下單。130ASCR Discrete目前還未驗證完，該機種目前生意很差，預計要到明年初才會下一個批量。盤式都是緩啟動在用，看訂單下料，目前也沒有預期的訂單。訂單部分近期要求他下固馳三款黑殼的小批量，另外Jack要再報價固馳250A取代SKKT215，讓林經理試樣品。與林經理講說10月底我們會再過去一趟。</t>
    <phoneticPr fontId="1" type="noConversion"/>
  </si>
  <si>
    <t>陳先生所知道的是全部都是用明緯的A-D，水下的儀器因為他們防水設計可以不用特殊認證或品質的用料，反而是在船上比較有可能。300V轉24V、12V、5V、3.3V都有。Viccor的實際用料還是得跟黃俊誠那邊確認好型號、用量、價格才有用，下週我請黃俊誠回郵件先。</t>
    <phoneticPr fontId="1" type="noConversion"/>
  </si>
  <si>
    <t>小顆PIM以前都用MMG15CB120XB6TC高壓、低壓並用，但用1200V取代600V師效率還是有點高，所以後來才用英飛凌、斯達的20A/600V去用，所以MMG15才會越用越少。我司用30/650V向下兼容20A、30A，Jack要求林明志要下小批量，林明志會回頭跟唐討論完後下兩盒的數量。
PIM基本上就是斯達跟我們在分，大馬力50HP、60HP出貨很零星之前都有幾個廠商來送樣，都有組出去(天狼星、捷捷微等)，但是應該還是會以我們跟斯達為主。
Busbar他還是有興趣跟我們弄，Jack會再報價，確認要弄我們再繼續下去。</t>
    <phoneticPr fontId="1" type="noConversion"/>
  </si>
  <si>
    <t>陳信宏週五請假，跟張興三約要談樣品。</t>
    <phoneticPr fontId="1" type="noConversion"/>
  </si>
  <si>
    <t>週五下午3:30</t>
    <phoneticPr fontId="1" type="noConversion"/>
  </si>
  <si>
    <t>週五中午左右碰面</t>
    <phoneticPr fontId="1" type="noConversion"/>
  </si>
  <si>
    <t>跟王新傳討論IGBT失效，提出焊電阻時ESD的可能，他認為可能性較低，我預計會再跟宏微的Jason談談此份失效。</t>
    <phoneticPr fontId="1" type="noConversion"/>
  </si>
  <si>
    <t>預計還會再試200A、300A三菱IGBT替代方案，但是我們300A估計沒有對應的包裝，Jack要再找一下。其餘FRD栓型、150AIGBT都會安排部分組在新機中，都會排單。</t>
    <phoneticPr fontId="1" type="noConversion"/>
  </si>
  <si>
    <t>SiC 15V的樣品，可以留給61860HF那邊做測試，要想辦法找李政聰談。
60V新機種準備10月底開案，我會先調查目前幾間進口品牌規格落點，和羅軍昌談。
18V SiC排測可能會到年底，文智看規格漂亮但是擔心量產穩定度，要說服他先測試，我回國後要先報價，想辦法讓他答應幫我做測試。</t>
    <phoneticPr fontId="1" type="noConversion"/>
  </si>
  <si>
    <t>目前在等我1500pcs的貨，測完後要組整機測試，預計11月底要發行。下周會發貨，等回國後，先跟伯彥確認測試情況，打聽目前打算，並找蔣興文談他的後續打算。</t>
    <phoneticPr fontId="1" type="noConversion"/>
  </si>
  <si>
    <t>約10/13~10/17碰面，會再發郵件給他確認時間。</t>
    <phoneticPr fontId="1" type="noConversion"/>
  </si>
  <si>
    <t>見面談Diode後續的測試，有問固馳那款是什麼工廠做的，擔心這款的品質，我讓他先試試看，目前預計200A、250A整流橋先下各3pcs試試，100A直接拿廠內的。</t>
    <phoneticPr fontId="1" type="noConversion"/>
  </si>
  <si>
    <t>拿25APIM樣品過去，目前預計10月底會開始測試，預計12月中若順利會直接出到客戶那邊，5.5KW這款會直接用我們的就不試英飛凌的了。</t>
    <phoneticPr fontId="1" type="noConversion"/>
  </si>
  <si>
    <t>WK42</t>
    <phoneticPr fontId="1" type="noConversion"/>
  </si>
  <si>
    <t>maggie</t>
    <phoneticPr fontId="1" type="noConversion"/>
  </si>
  <si>
    <t>柏彥</t>
    <phoneticPr fontId="1" type="noConversion"/>
  </si>
  <si>
    <t>亞力</t>
    <phoneticPr fontId="1" type="noConversion"/>
  </si>
  <si>
    <t>邱健民</t>
    <phoneticPr fontId="1" type="noConversion"/>
  </si>
  <si>
    <t>黃志權</t>
    <phoneticPr fontId="1" type="noConversion"/>
  </si>
  <si>
    <t>蔡宏俊</t>
    <phoneticPr fontId="1" type="noConversion"/>
  </si>
  <si>
    <t>劉宗憲</t>
    <phoneticPr fontId="1" type="noConversion"/>
  </si>
  <si>
    <t>莊聖敬</t>
    <phoneticPr fontId="1" type="noConversion"/>
  </si>
  <si>
    <t>伍翔榆</t>
    <phoneticPr fontId="1" type="noConversion"/>
  </si>
  <si>
    <t>劉祐廷</t>
    <phoneticPr fontId="1" type="noConversion"/>
  </si>
  <si>
    <t>周明裕</t>
    <phoneticPr fontId="1" type="noConversion"/>
  </si>
  <si>
    <t>林暐哲</t>
    <phoneticPr fontId="1" type="noConversion"/>
  </si>
  <si>
    <t>蔡宗廷</t>
    <phoneticPr fontId="1" type="noConversion"/>
  </si>
  <si>
    <t>鄭竣泰</t>
    <phoneticPr fontId="1" type="noConversion"/>
  </si>
  <si>
    <t>目前板子已經到觀音，但目前再處理其他機種安規的事情預計會到10月底那週開始試，11月初再去實驗室看。</t>
    <phoneticPr fontId="1" type="noConversion"/>
  </si>
  <si>
    <t>要約訪，本週的工作都排滿了，沒有強力的理由去約見面，沒辦法很重視這個會面。</t>
    <phoneticPr fontId="1" type="noConversion"/>
  </si>
  <si>
    <t>約明天談Relay交貨的事情。</t>
    <phoneticPr fontId="1" type="noConversion"/>
  </si>
  <si>
    <t>約明天去交1500pcs MOS的貨，順便談目前的情勢。</t>
    <phoneticPr fontId="1" type="noConversion"/>
  </si>
  <si>
    <t>目前有一個DC-DC Converter的需求，給400V系統用 BBU，需要400-600Vin / 5V、12Vout的PCB Mount產品。過去有用過大陸品AC-DC代用設計一個BBU的Converter但是目前這個機種沒有繼續，現在直接開一個400V的。採購都是在大陸，PCB上面的料都是大陸採購買的，PCB插件完才會送到各地組裝。另外有一個FUSE的需求，目前是用Bussman H75ESS-100-PCB，想要125A/750Vdc產品，最好是有可以用訊號熔斷的功能。會先問RECOM有沒有對應產品，和誠能不能打我們標跟順達有沒有要求UL都還是一個問題。</t>
    <phoneticPr fontId="1" type="noConversion"/>
  </si>
  <si>
    <t>上週Maspower的整機測試出現震盪，有炸機，目前還在釐清問題當中，最糟的情況可能要重新Layout板子，我們的1500pcs目前還沒有聽到指令說要開始測試。聽柏彥說Sanmi那邊都是建興還有顥展在接洽，表示之前在對應建興的時候，他一直沒有跟我說真話，要嘗試再找建興、顥展談，釐清目前競爭對手的情況。</t>
    <phoneticPr fontId="1" type="noConversion"/>
  </si>
  <si>
    <t>原本要約蔣見面，但他今天沒有時間碰面，目前遇到一些結構問題要先排除說11月會測試完，目前會先考慮兩個料都同時並行推進。同時還在糾結合約問題，暫時先推給公司。要求Busbar的3D圖提供，他還是較堅持先不給。</t>
    <phoneticPr fontId="1" type="noConversion"/>
  </si>
  <si>
    <t>目前未交單1008pcs有極大可能今年不拿。與Maggie討論跟催交付的事情，他們公司就是沒辦法保證上跟催的時間點，其他廠商也是這樣子配合。就算等到跟催再開始生產也會遇到他們瘋狂催貨的狀況。Darren建議就直接跟他們講說原本沒有預期這個備貨成本，若是未來Due Date不看單純等跟催的話要將備貨成本算在單價上面，一次請他們一次拿3000pcs，來威脅他們拿這批貨。</t>
    <phoneticPr fontId="1" type="noConversion"/>
  </si>
  <si>
    <t>已經開研發樣品單給採購，下固馳200A整流橋、MMD250F160X各3pcs來試。MMD100EB160X因為庫存就有，所以就直接拿倉庫裡面的來用。</t>
    <phoneticPr fontId="1" type="noConversion"/>
  </si>
  <si>
    <t>Relay的測試會延到10月底。開關板的東西還不會那麼快處理完，我打算等他測試完Relay跟他說SiC要用買的。</t>
    <phoneticPr fontId="1" type="noConversion"/>
  </si>
  <si>
    <t>EMU500充電機的標案在9月底的開標又無法決標，福峰又來鬧場，所以又要延後，目前時間不明朗。</t>
    <phoneticPr fontId="1" type="noConversion"/>
  </si>
  <si>
    <t>目前正在測試我們的IGBT、FRED基礎功能，最關鍵的溫昇測試要等散熱片11月來了之後，12月才能測出一個結果。約隔天碰面了解目前他的打算。</t>
    <phoneticPr fontId="1" type="noConversion"/>
  </si>
  <si>
    <t>詢問他們出差有沒有去另一家的工廠訪廠，他只有來我們帶的這一趟而已，蔣其他行程他不知道。其他廠牌半導體幾乎很少有人有簽新合約，因為都是配合很久沒有叫他們更新這些東西。我認為我們簽了這個罰則條款是非常地虧，盡量拖到最後一刻最好也不要簽。</t>
    <phoneticPr fontId="1" type="noConversion"/>
  </si>
  <si>
    <t>跟Wendy談12月的訂單，目前FRED需求非常少，很難擠出東西跟我談，唯一就是MM40G3U120BX可以在弄一張單子，但是價格必須比中山買得低才有可能(NT32)。其他談的可能性不高，就不見面談了，近幾天他也沒有時間。
10/17更新，他可以拿20K，12月拿10K、2月拿10K，我要報價給他</t>
    <phoneticPr fontId="1" type="noConversion"/>
  </si>
  <si>
    <t>新案子客戶那邊老闆說要等他們電容拿到之後才會排下一單下來。所以可能要等11月底了。</t>
    <phoneticPr fontId="1" type="noConversion"/>
  </si>
  <si>
    <t>跟David解釋為什麼我需要目前他這個版本的Busbar，但是蔣在擋實在給不了。</t>
    <phoneticPr fontId="1" type="noConversion"/>
  </si>
  <si>
    <t>約明天碰面。</t>
    <phoneticPr fontId="1" type="noConversion"/>
  </si>
  <si>
    <t>原本用Wier的AWD系列，不是實驗一定要選大陸品，而是在設計時手邊有什麼資源搭得上就趕快拿來用，要量產前他們還是要找Non China的產品去取代掉。</t>
    <phoneticPr fontId="1" type="noConversion"/>
  </si>
  <si>
    <t>未接，週五不在公司。</t>
    <phoneticPr fontId="1" type="noConversion"/>
  </si>
  <si>
    <t>售服，EIT02CM Relay短路測試失效，要寄回去宏發做分析。</t>
    <phoneticPr fontId="1" type="noConversion"/>
  </si>
  <si>
    <t>到下周二都請假。</t>
    <phoneticPr fontId="1" type="noConversion"/>
  </si>
  <si>
    <t>林廷杰</t>
    <phoneticPr fontId="1" type="noConversion"/>
  </si>
  <si>
    <t>電源工程師。沒分機，寄Email。</t>
    <phoneticPr fontId="1" type="noConversion"/>
  </si>
  <si>
    <t>普萊德</t>
    <phoneticPr fontId="1" type="noConversion"/>
  </si>
  <si>
    <t>盧奕廷</t>
    <phoneticPr fontId="1" type="noConversion"/>
  </si>
  <si>
    <t>工業網通設備，硬體工程師，總機說人在開會</t>
    <phoneticPr fontId="1" type="noConversion"/>
  </si>
  <si>
    <t>李r</t>
    <phoneticPr fontId="1" type="noConversion"/>
  </si>
  <si>
    <t>助理工程師，選用IGBT模組的RD人都不在，先寄Email</t>
    <phoneticPr fontId="1" type="noConversion"/>
  </si>
  <si>
    <t>慧格</t>
    <phoneticPr fontId="1" type="noConversion"/>
  </si>
  <si>
    <t>Mandy</t>
    <phoneticPr fontId="1" type="noConversion"/>
  </si>
  <si>
    <t>昇頻</t>
    <phoneticPr fontId="1" type="noConversion"/>
  </si>
  <si>
    <t>工業網通路由器。沒對象轉不到</t>
    <phoneticPr fontId="1" type="noConversion"/>
  </si>
  <si>
    <t>#31723未接</t>
    <phoneticPr fontId="1" type="noConversion"/>
  </si>
  <si>
    <t>李宗融處長</t>
    <phoneticPr fontId="1" type="noConversion"/>
  </si>
  <si>
    <t>人外出了</t>
    <phoneticPr fontId="1" type="noConversion"/>
  </si>
  <si>
    <t>短暫碰面，目前會以宏微的料為主，日晟的也會繼續測，但是價格沒有比較有優勢，其他手上還有一堆其他品牌的樣品，但估計都不會動了也沒時間。現在人手非常不足只能專心把這個30KW的案子搞定，也無法在弄其他案子。目前在在測元件3並的功能，要等11月散熱片來的時候測溫昇，目前應該算鰻有把握的，預計12月才會測出結果，目標Q1能夠替換掉。其他輔電的東西來不及問就中午了，他還要去南港開會就要先走了。</t>
    <phoneticPr fontId="1" type="noConversion"/>
  </si>
  <si>
    <t>63745HF是對應63245的一個機種，但是是包含DC Source+Dcload在裡面，配合客戶需求而生，有可能部分會吃到62360D、63245生意，但是並不是用來把62360D淘汰的機種。空間也有嚴格的限制才會用ACIN Busbar，這個鵬飛會開單來處理。</t>
    <phoneticPr fontId="1" type="noConversion"/>
  </si>
  <si>
    <t>喬MM40G3U120BX 20K訂單</t>
    <phoneticPr fontId="1" type="noConversion"/>
  </si>
  <si>
    <t>Relay還是用YM的設計因為舊的就用YM所以不用改圖省時間，暫時沒機會。</t>
    <phoneticPr fontId="1" type="noConversion"/>
  </si>
  <si>
    <t>WK43</t>
    <phoneticPr fontId="1" type="noConversion"/>
  </si>
  <si>
    <t>請假</t>
    <phoneticPr fontId="1" type="noConversion"/>
  </si>
  <si>
    <t>與顥展、柏彥碰面</t>
    <phoneticPr fontId="1" type="noConversion"/>
  </si>
  <si>
    <t>與蔣興文碰面</t>
    <phoneticPr fontId="1" type="noConversion"/>
  </si>
  <si>
    <t>1. 打聽對手資訊
2. 確認蔣興文打算意向</t>
    <phoneticPr fontId="1" type="noConversion"/>
  </si>
  <si>
    <t>我們的MOS在測脈衝時也有去測單條模組48pcs發現有震盪，才會停下來先去測試Maspower，現在必須想辦法讓我們的進度趕上Maspower，進度並行，不然到時候他們會直接放棄我們的方案。</t>
    <phoneticPr fontId="1" type="noConversion"/>
  </si>
  <si>
    <t>與建興、蔣興文碰面。</t>
    <phoneticPr fontId="1" type="noConversion"/>
  </si>
  <si>
    <t>WK44</t>
    <phoneticPr fontId="1" type="noConversion"/>
  </si>
  <si>
    <t>WK45</t>
    <phoneticPr fontId="1" type="noConversion"/>
  </si>
  <si>
    <t>WK46</t>
    <phoneticPr fontId="1" type="noConversion"/>
  </si>
  <si>
    <t>建興</t>
    <phoneticPr fontId="1" type="noConversion"/>
  </si>
  <si>
    <t>黃r EE</t>
    <phoneticPr fontId="1" type="noConversion"/>
  </si>
  <si>
    <t>融程</t>
    <phoneticPr fontId="1" type="noConversion"/>
  </si>
  <si>
    <t>張振坤</t>
    <phoneticPr fontId="1" type="noConversion"/>
  </si>
  <si>
    <t>陳鵬飛</t>
    <phoneticPr fontId="1" type="noConversion"/>
  </si>
  <si>
    <t>新漢智能</t>
    <phoneticPr fontId="1" type="noConversion"/>
  </si>
  <si>
    <t>邱翊瑋</t>
    <phoneticPr fontId="1" type="noConversion"/>
  </si>
  <si>
    <t>power工程師設計工業電腦的比較多都自己設計，只有車載、鐵道、醫療才會用到有認證的Module，他這邊沒有這種特殊應用的案子。非KEY MAN，請他幫我把資訊轉給其他RD</t>
    <phoneticPr fontId="1" type="noConversion"/>
  </si>
  <si>
    <t>周忠賢#3635</t>
    <phoneticPr fontId="1" type="noConversion"/>
  </si>
  <si>
    <t>明天10點碰面</t>
    <phoneticPr fontId="1" type="noConversion"/>
  </si>
  <si>
    <t>偷問王國政是否有帶來影響，看來王國政只有先跟蔣興文提這件事情，蔣興文要先跟David討論一下這件事情，我會先發個郵件。</t>
    <phoneticPr fontId="1" type="noConversion"/>
  </si>
  <si>
    <t>安勤科技</t>
    <phoneticPr fontId="1" type="noConversion"/>
  </si>
  <si>
    <t>Kerwin</t>
    <phoneticPr fontId="1" type="noConversion"/>
  </si>
  <si>
    <t>威強電</t>
    <phoneticPr fontId="1" type="noConversion"/>
  </si>
  <si>
    <t>實名制轉接</t>
    <phoneticPr fontId="1" type="noConversion"/>
  </si>
  <si>
    <t>創奕能源</t>
    <phoneticPr fontId="1" type="noConversion"/>
  </si>
  <si>
    <t>Stanely</t>
    <phoneticPr fontId="1" type="noConversion"/>
  </si>
  <si>
    <t>孔令煒</t>
    <phoneticPr fontId="1" type="noConversion"/>
  </si>
  <si>
    <t>唐子元</t>
    <phoneticPr fontId="1" type="noConversion"/>
  </si>
  <si>
    <t>方r 研六</t>
    <phoneticPr fontId="1" type="noConversion"/>
  </si>
  <si>
    <t>許國華</t>
    <phoneticPr fontId="1" type="noConversion"/>
  </si>
  <si>
    <t>徐偉席loop進來的power team RD，總機說他無分機。我先寄Mail。</t>
    <phoneticPr fontId="1" type="noConversion"/>
  </si>
  <si>
    <t>無此人</t>
    <phoneticPr fontId="1" type="noConversion"/>
  </si>
  <si>
    <t>艾訊</t>
    <phoneticPr fontId="1" type="noConversion"/>
  </si>
  <si>
    <t>轉了FAE沒辦法幫我介紹</t>
    <phoneticPr fontId="1" type="noConversion"/>
  </si>
  <si>
    <t>安仁國際</t>
    <phoneticPr fontId="1" type="noConversion"/>
  </si>
  <si>
    <t>做OBC的，RD都在開會</t>
    <phoneticPr fontId="1" type="noConversion"/>
  </si>
  <si>
    <t>ADLINK</t>
    <phoneticPr fontId="1" type="noConversion"/>
  </si>
  <si>
    <t>Hilary Tsai</t>
    <phoneticPr fontId="1" type="noConversion"/>
  </si>
  <si>
    <t>RD Manager 在開會</t>
    <phoneticPr fontId="1" type="noConversion"/>
  </si>
  <si>
    <t>陳建樺</t>
    <phoneticPr fontId="1" type="noConversion"/>
  </si>
  <si>
    <t>林明昰</t>
    <phoneticPr fontId="1" type="noConversion"/>
  </si>
  <si>
    <t>提供對應規格書，EE的分機是#5243，建議我要先找吳江的採購陳進's #87816談過會比較好推進。</t>
    <phoneticPr fontId="1" type="noConversion"/>
  </si>
  <si>
    <t>明天11點致茂全家。</t>
    <phoneticPr fontId="1" type="noConversion"/>
  </si>
  <si>
    <t>上次他有問他一個EE同事有沒有機會用Module，後來還是自己設計。幫我引薦一位Power team的人叫許國華，幫我把郵件loop進來。</t>
    <phoneticPr fontId="1" type="noConversion"/>
  </si>
  <si>
    <t>目前整體結構還在設計中，所以還不是很確定Busbar的長度會不會更動，這幾周機櫃大小確認後就會把Busbar定案，到時候就會跟我們看要改，還是直接下單。</t>
    <phoneticPr fontId="1" type="noConversion"/>
  </si>
  <si>
    <t>跟黃建興打聽Sanmi的資訊，並沒有透漏多少。目前水冷式的也是會用這個板子去設計，只是要改散熱器而已。</t>
    <phoneticPr fontId="1" type="noConversion"/>
  </si>
  <si>
    <t>D/D空間不夠，我們推薦的5W看能不能3W的體積會不會小一點，另外也有用UCC14141-Q1，沒有要求60747認證，我會推薦RECOM產品給他。</t>
    <phoneticPr fontId="1" type="noConversion"/>
  </si>
  <si>
    <t>明天11:30見面</t>
    <phoneticPr fontId="1" type="noConversion"/>
  </si>
  <si>
    <t>電巴--&gt;系統配電--&gt;儲能系統
SPBW03F-12用於電巴BMS/一台10片板子，一年260台，另外PDU用TDK Relay 250A/750V 5~6pcs、還以高壓Fuse，請我們推薦450A/1500V的產品。</t>
    <phoneticPr fontId="1" type="noConversion"/>
  </si>
  <si>
    <t>有需求要測MM40G3U120BX，是設計在中山冠宏生產的UPS，藉機去了解一下研六的狀況。</t>
    <phoneticPr fontId="1" type="noConversion"/>
  </si>
  <si>
    <t>罰則協定書的簽署之後會由他來負責叫我們簽屬，之後他會再重發一次，我們稍做修改給他去跟法務談。</t>
    <phoneticPr fontId="1" type="noConversion"/>
  </si>
  <si>
    <t>1. 15000V MOS 2~3周會開始測pulse 1400V/140W 2~3秒，篩選出來的裝模組、整機測試，還沒決定要以哪一家為主。
2. 並櫃Busbar請他去申請模型給我們方便設計，我同時持續跟彭工確認設計方向。
3. 舊的Busbar會排時間測試。</t>
    <phoneticPr fontId="1" type="noConversion"/>
  </si>
  <si>
    <t>5W的尺寸請他先比對一下，SiC的Vgs是18V，所以Vout=18V，我先傳RECOM2.5W的產品給他看。</t>
    <phoneticPr fontId="1" type="noConversion"/>
  </si>
  <si>
    <t>目前61860HF在測試的SiC是前極，後極沒有要動的意思，而且目前在測板子也不夠用，都是在台灣插好板子寄過去的。</t>
    <phoneticPr fontId="1" type="noConversion"/>
  </si>
  <si>
    <t>目前確定11月中會測試我們的MOS，AC Source兩個機種都可以共用。</t>
    <phoneticPr fontId="1" type="noConversion"/>
  </si>
  <si>
    <t>方育中</t>
    <phoneticPr fontId="1" type="noConversion"/>
  </si>
  <si>
    <t>楊r 研四</t>
    <phoneticPr fontId="1" type="noConversion"/>
  </si>
  <si>
    <t>Paul</t>
    <phoneticPr fontId="1" type="noConversion"/>
  </si>
  <si>
    <t>成運</t>
    <phoneticPr fontId="1" type="noConversion"/>
  </si>
  <si>
    <t>大園工廠總機</t>
    <phoneticPr fontId="1" type="noConversion"/>
  </si>
  <si>
    <t>與建興、蔣興文碰面</t>
    <phoneticPr fontId="1" type="noConversion"/>
  </si>
  <si>
    <t>黃建興： 跟黃建興打聽Sanmi的資訊，並沒有透漏多少。目前水冷式的也是會用這個板子去設計，只是要改散熱器而已。
蔣興文：
1. 15000V MOS 2~3周會開始測pulse 1400V/140W 2~3秒，篩選出來的裝模組、整機測試，還沒決定要以哪一家為主。
2. 並櫃Busbar請他去申請模型給我們方便設計，我同時持續跟彭工確認設計方向。
3. 舊的Busbar會排時間測試。</t>
    <phoneticPr fontId="1" type="noConversion"/>
  </si>
  <si>
    <t>持續跟週邊的工程師打聽進度，確認篩選測試的成效。EAS條件更動的聲明需提供。</t>
    <phoneticPr fontId="1" type="noConversion"/>
  </si>
  <si>
    <t>有效接觸</t>
    <phoneticPr fontId="1" type="noConversion"/>
  </si>
  <si>
    <t>研六開始接手1~3KW online部分機種要在中山冠虹生產的新案子，會沿用宏微的產品設計，by pass都是用繼電器(但那個宏發自己在交付)，沒有用SCR，Charger的MOS用的數量少，都跟別的機種共用板子，不會去動。對PEM有興趣，可安排時間試用看看。</t>
    <phoneticPr fontId="1" type="noConversion"/>
  </si>
  <si>
    <t>Wendy認為價格沒有優勢到哪裡去，他要再跟公司談談看。基本上我認為價格一定可以，他只是要說服公司能不能擺庫存，而且價格我不能再動了，如果他不能下看是什麼問題，如果有必要直接談跳過慧格交易的條件。</t>
    <phoneticPr fontId="1" type="noConversion"/>
  </si>
  <si>
    <t>討論IGBT模組試的可能性，糾結在他們設計VCE Sat保護的數值，我看獅門的規格較為相近，先推規格書給他，下週跟他約碰面。</t>
    <phoneticPr fontId="1" type="noConversion"/>
  </si>
  <si>
    <t>研五RD今天都出差。</t>
    <phoneticPr fontId="1" type="noConversion"/>
  </si>
  <si>
    <t>跟他討論D/D規格的事情，他有打算修改電路來改善明緯那顆的EMI問題，想跟他討論有沒有機會用RECOM的試試看，他還未看規格書，今天準備出國，下週二回來，要想辦法黏他。</t>
    <phoneticPr fontId="1" type="noConversion"/>
  </si>
  <si>
    <t>RELAY、FUSE目前是Jerry負責。要再找Jerry談他新案子的需求。</t>
    <phoneticPr fontId="1" type="noConversion"/>
  </si>
  <si>
    <t>追蹤MC-NP板的測試情況，電感有降，但熱沒降，詳細要再跟明昰確認測試詳情。</t>
    <phoneticPr fontId="1" type="noConversion"/>
  </si>
  <si>
    <t>楊r</t>
    <phoneticPr fontId="1" type="noConversion"/>
  </si>
  <si>
    <t>Jerry</t>
    <phoneticPr fontId="1" type="noConversion"/>
  </si>
  <si>
    <t>胡庭鈞</t>
    <phoneticPr fontId="1" type="noConversion"/>
  </si>
  <si>
    <t>竣泰</t>
    <phoneticPr fontId="1" type="noConversion"/>
  </si>
  <si>
    <t>林俊明</t>
    <phoneticPr fontId="1" type="noConversion"/>
  </si>
  <si>
    <t>嗣傑</t>
    <phoneticPr fontId="1" type="noConversion"/>
  </si>
  <si>
    <t>易芯科技</t>
    <phoneticPr fontId="1" type="noConversion"/>
  </si>
  <si>
    <t>安能創意</t>
    <phoneticPr fontId="1" type="noConversion"/>
  </si>
  <si>
    <t>成運汽車</t>
    <phoneticPr fontId="1" type="noConversion"/>
  </si>
  <si>
    <t>行競科技</t>
    <phoneticPr fontId="1" type="noConversion"/>
  </si>
  <si>
    <t>IMDQ65R020M2H(Infineon SiC MOS)、MGJ2D121503SC(Murata)960,000pcs/年，</t>
    <phoneticPr fontId="1" type="noConversion"/>
  </si>
  <si>
    <t>總機說先發信箱，不願意幫忙轉</t>
    <phoneticPr fontId="1" type="noConversion"/>
  </si>
  <si>
    <t>鄭副理</t>
    <phoneticPr fontId="1" type="noConversion"/>
  </si>
  <si>
    <t>黃俊穎 (ME)</t>
    <phoneticPr fontId="1" type="noConversion"/>
  </si>
  <si>
    <t>總機被擋，直接說不需要，掛電話。</t>
    <phoneticPr fontId="1" type="noConversion"/>
  </si>
  <si>
    <t>週五14:00</t>
    <phoneticPr fontId="1" type="noConversion"/>
  </si>
  <si>
    <t>陳r Jamie EE</t>
    <phoneticPr fontId="1" type="noConversion"/>
  </si>
  <si>
    <t>涂凱翔 (RD leader)</t>
    <phoneticPr fontId="1" type="noConversion"/>
  </si>
  <si>
    <t>#702</t>
    <phoneticPr fontId="1" type="noConversion"/>
  </si>
  <si>
    <t>江經理 EE</t>
    <phoneticPr fontId="1" type="noConversion"/>
  </si>
  <si>
    <t>加百裕工業</t>
    <phoneticPr fontId="1" type="noConversion"/>
  </si>
  <si>
    <t>創揚科技</t>
    <phoneticPr fontId="1" type="noConversion"/>
  </si>
  <si>
    <t>沒在自己做系統整合商</t>
    <phoneticPr fontId="1" type="noConversion"/>
  </si>
  <si>
    <t>漢通科技</t>
    <phoneticPr fontId="1" type="noConversion"/>
  </si>
  <si>
    <t>于經理 Mick</t>
    <phoneticPr fontId="1" type="noConversion"/>
  </si>
  <si>
    <t>無全名被總機擋</t>
    <phoneticPr fontId="1" type="noConversion"/>
  </si>
  <si>
    <t>聚磊智慧能源</t>
    <phoneticPr fontId="1" type="noConversion"/>
  </si>
  <si>
    <t>維洋科技</t>
    <phoneticPr fontId="1" type="noConversion"/>
  </si>
  <si>
    <t>林口廠，人今天不在，轉不到EE</t>
    <phoneticPr fontId="1" type="noConversion"/>
  </si>
  <si>
    <t>周于森 ME</t>
    <phoneticPr fontId="1" type="noConversion"/>
  </si>
  <si>
    <t>出差，明天公司沒上班，下週一聯繫</t>
    <phoneticPr fontId="1" type="noConversion"/>
  </si>
  <si>
    <t>委外設計，本身算系統整合商</t>
    <phoneticPr fontId="1" type="noConversion"/>
  </si>
  <si>
    <t>#3714，屬於筆電電池BMS的EE，不願意幫我轉接儲能部門的EE。</t>
    <phoneticPr fontId="1" type="noConversion"/>
  </si>
  <si>
    <t>並非用TI的DC/DC IC(類似14141的產品)設計，他是直接自己設計flyback出18V給Driver。TI是Flyback裡面的Boost IC非隔離型。</t>
    <phoneticPr fontId="1" type="noConversion"/>
  </si>
  <si>
    <t>打了工廠電話都沒人接，打回總公司找不到人RD都在工廠，也沒有聯繫資訊。打到成運天宇也是一樣的情況。 104有BMS副理郵件，只能先發一些東西看他會不會回。</t>
    <phoneticPr fontId="1" type="noConversion"/>
  </si>
  <si>
    <t>週二上午碰面</t>
    <phoneticPr fontId="1" type="noConversion"/>
  </si>
  <si>
    <t>週三上午碰面</t>
    <phoneticPr fontId="1" type="noConversion"/>
  </si>
  <si>
    <t>確認MM40G3U120BX不能用在台灣機種原因，另外因為芯能要停產，所以目前開始沒方案，要測替代料。我提供麥思浦方案規格書給他看。</t>
    <phoneticPr fontId="1" type="noConversion"/>
  </si>
  <si>
    <t>有新案子但是規格還未確認，Fuse目前不會用那麼高壓的，除了250A Relay還有其他規格會有需求，目前電巴有一個新的PDU機種，週三討論。</t>
    <phoneticPr fontId="1" type="noConversion"/>
  </si>
  <si>
    <t>1. 討論失效IGBT訊號干擾的來源，周邊都沒改東西，請我建議Rg值。
2. Relay目前推的HFE80P無法確認壽命是否適用，直接改推731H的替代品。
3. 目前生意真的非常差，台灣、大陸狀況都非常糟糕，靠一些日本專用機在撐大金額的營業額。</t>
    <phoneticPr fontId="1" type="noConversion"/>
  </si>
  <si>
    <t>討論Relay EIT02CM失效。</t>
    <phoneticPr fontId="1" type="noConversion"/>
  </si>
  <si>
    <t>ESS BMS基本上不太會出新產品了，目前在設計UPS，都是用低壓MOS設計，我先發東西給他看，再跟他約時間碰面，目前要約可能要2~3周後。</t>
    <phoneticPr fontId="1" type="noConversion"/>
  </si>
  <si>
    <t>見面討論IGBT，大部分都是20KW三相機台，IGBT一台要用6顆，到時候會要我拿6pcs給他測，他看完規格真的要再說。</t>
    <phoneticPr fontId="1" type="noConversion"/>
  </si>
  <si>
    <t>目前麥思浦的初步看起來還可以，到時候跟Wendy談完價格再考慮送樣的事情，其他沒有太大交集點，都說其他的可以推，但是沒有明確痛點不會輕易談送樣。</t>
    <phoneticPr fontId="1" type="noConversion"/>
  </si>
  <si>
    <t>周三下午碰面</t>
    <phoneticPr fontId="1" type="noConversion"/>
  </si>
  <si>
    <t>PEM維修事項討論，前瞻模組設計部門的，找時間討論他那邊的需求。</t>
    <phoneticPr fontId="1" type="noConversion"/>
  </si>
  <si>
    <t>6W原本用明緯的有EMI，多掛兩個電容應該就解決了。3W用Mornsun交期極差，找明緯的3W交期也很差，採購有推薦CLAF(土耳其)品牌讓他試，我們的3W也有機會一起安排，現在也在等明緯樣品，我請他給我採購聯繫資訊，接下來要先跟採購打個照面。</t>
    <phoneticPr fontId="1" type="noConversion"/>
  </si>
  <si>
    <t>目前有一款PDU是安仁國際直接設計整台給他們的，案子才剛開始，老闆怕被綁死所以希望他把裡面的料換掉，有比亞迪、宏發的Relay，現在因為RD在用的一些系統掛掉所以沒辦法馬上給我完整規格，但他會先想辦法拍一些東西傳line給我。</t>
    <phoneticPr fontId="1" type="noConversion"/>
  </si>
  <si>
    <t>遞出我的專案報價單，只有聊一些很官腔的話，我嘗試試探一些問題，但是防備心還是很重，最後他只有跟我說她會再跟採購討論一下。</t>
    <phoneticPr fontId="1" type="noConversion"/>
  </si>
  <si>
    <t>原本TI的UCC14141-Q1因為測完瓦數不夠用(1.5W)所以改回用MURATA，沒有IEC 60747沒關係，他實測會用這個標準去測。</t>
    <phoneticPr fontId="1" type="noConversion"/>
  </si>
  <si>
    <t>Maggie</t>
    <phoneticPr fontId="1" type="noConversion"/>
  </si>
  <si>
    <t>Jamie</t>
    <phoneticPr fontId="1" type="noConversion"/>
  </si>
  <si>
    <t>暐哲、智淵</t>
    <phoneticPr fontId="1" type="noConversion"/>
  </si>
  <si>
    <t>63745HF的輸出端需要用噴塗絕緣銅條設計，因為目前的銅條設計形狀比較複雜，熱縮套管包不起來。請鵬飛先發圖過來，下周碰面</t>
    <phoneticPr fontId="1" type="noConversion"/>
  </si>
  <si>
    <t>Wendy目前拿到的MM40G3U120BX大陸價格是低於NTD30，這次確定不會下單給我們。一樣，大陸拿我們報的價格去議價，Wendy表示這個現象不是我們直接跳過慧格跟科風交易就可以解決，建議我們先把渠道問題搞定再談，不然她也會被公司要求從大陸買過來台灣。</t>
    <phoneticPr fontId="1" type="noConversion"/>
  </si>
  <si>
    <t>有1、2月需求了，但是未交單1008pcs還是不拿，這個非常矛盾。目前應該是要Rita談這件事情了。</t>
    <phoneticPr fontId="1" type="noConversion"/>
  </si>
  <si>
    <t>未接。發信了，也沒回覆。</t>
    <phoneticPr fontId="1" type="noConversion"/>
  </si>
  <si>
    <t>目前方案有4間：
1. 高登 ( 在東莞的代理商，同時也有代理宏發，有交易過)
2.松川 包裝不同，有多設計PCB
3.宏發 我們為主
4. 一家未知大陸品牌 ( 台灣代理商泰瑞在推，以前交澤碩TE的繼電器)
目前還在畫PCB當中，預計最快年底前會把樣品測出來，量產時會用一家為主，其他2nd Source，我們現在最大劣勢是只有我們還沒建供應商，高登目前比我們便宜。</t>
    <phoneticPr fontId="1" type="noConversion"/>
  </si>
  <si>
    <t>討論失效問題，過去Darren最早提供改善後的樣品6只是可以測超過10000次測到碳化開路，目前不管二線、四線都是測試幾十次就沾黏，跟過去YM一樣，這樣對他們來說會跟之前用YM的沒有差別。這問題目前已反饋給唐工，讓他去查是否有換過BOM，我本人是懷疑用料用回標準品。我同時有跟智淵講說和誠的方案，能直接給他樣品的話他會安排測試。
唐工回覆我他去查了BOM表沒有換過用料，他說他會再想辦法幫我確認清楚，下週給我一個答覆。</t>
    <phoneticPr fontId="1" type="noConversion"/>
  </si>
  <si>
    <t>Busbar等我們簽NDA後就會直接發給我。</t>
    <phoneticPr fontId="1" type="noConversion"/>
  </si>
  <si>
    <t>約下周碰面，時間他會回覆我。</t>
    <phoneticPr fontId="1" type="noConversion"/>
  </si>
  <si>
    <t>王昉晛 ME</t>
    <phoneticPr fontId="1" type="noConversion"/>
  </si>
  <si>
    <t>他這邊有軟連接的需求，但我們是以硬連接為主。我們的方案他們有興趣，但他比較偏創研的部門，他下週四有空，他會帶上其他ME一起跟我碰面。</t>
    <phoneticPr fontId="1" type="noConversion"/>
  </si>
  <si>
    <t>打給蔣興文
請麥思浦準備郵件</t>
    <phoneticPr fontId="1" type="noConversion"/>
  </si>
  <si>
    <t>1. Busbar的圖只要我們簽NDA就可以提供
2. Iris正在請人幫我們準備聲明、失效報告處理的事情還未有個答覆。</t>
    <phoneticPr fontId="1" type="noConversion"/>
  </si>
  <si>
    <t>1. 跟其他人打聽測試情況。
2. 要追蹤Iris文件的提供。</t>
    <phoneticPr fontId="1" type="noConversion"/>
  </si>
  <si>
    <t>輔電有可能改成SiC</t>
    <phoneticPr fontId="1" type="noConversion"/>
  </si>
  <si>
    <t>翁淑惠</t>
    <phoneticPr fontId="1" type="noConversion"/>
  </si>
  <si>
    <t>Rita</t>
    <phoneticPr fontId="1" type="noConversion"/>
  </si>
  <si>
    <t>開會中</t>
    <phoneticPr fontId="1" type="noConversion"/>
  </si>
  <si>
    <t>Gigo</t>
    <phoneticPr fontId="1" type="noConversion"/>
  </si>
  <si>
    <t>還未有進度</t>
    <phoneticPr fontId="1" type="noConversion"/>
  </si>
  <si>
    <t>暐哲</t>
    <phoneticPr fontId="1" type="noConversion"/>
  </si>
  <si>
    <t>Fang</t>
    <phoneticPr fontId="1" type="noConversion"/>
  </si>
  <si>
    <t>睿騰能源</t>
    <phoneticPr fontId="1" type="noConversion"/>
  </si>
  <si>
    <t>鴻華先進</t>
    <phoneticPr fontId="1" type="noConversion"/>
  </si>
  <si>
    <t>顥展</t>
    <phoneticPr fontId="1" type="noConversion"/>
  </si>
  <si>
    <t>台灣四國船舶電機</t>
    <phoneticPr fontId="1" type="noConversion"/>
  </si>
  <si>
    <t>Axiomtek</t>
  </si>
  <si>
    <t>融程電訊</t>
    <phoneticPr fontId="1" type="noConversion"/>
  </si>
  <si>
    <t>智淵、暐哲</t>
    <phoneticPr fontId="1" type="noConversion"/>
  </si>
  <si>
    <t>吳丹琪</t>
    <phoneticPr fontId="1" type="noConversion"/>
  </si>
  <si>
    <t>楊士弘</t>
    <phoneticPr fontId="1" type="noConversion"/>
  </si>
  <si>
    <t>陳佑全</t>
    <phoneticPr fontId="1" type="noConversion"/>
  </si>
  <si>
    <t>負責電動單車的無交集點全用低壓MOS，不幫忙介紹其他儲能的RD</t>
    <phoneticPr fontId="1" type="noConversion"/>
  </si>
  <si>
    <t>鄭世凱</t>
    <phoneticPr fontId="1" type="noConversion"/>
  </si>
  <si>
    <t>飛宏</t>
    <phoneticPr fontId="1" type="noConversion"/>
  </si>
  <si>
    <t>李建興</t>
    <phoneticPr fontId="1" type="noConversion"/>
  </si>
  <si>
    <t>林峰億</t>
    <phoneticPr fontId="1" type="noConversion"/>
  </si>
  <si>
    <t>陳靜雯</t>
    <phoneticPr fontId="1" type="noConversion"/>
  </si>
  <si>
    <t>Jamie、Fang</t>
    <phoneticPr fontId="1" type="noConversion"/>
  </si>
  <si>
    <t>明創能源</t>
    <phoneticPr fontId="1" type="noConversion"/>
  </si>
  <si>
    <t>袁祥婕</t>
    <phoneticPr fontId="1" type="noConversion"/>
  </si>
  <si>
    <t>Thomas</t>
    <phoneticPr fontId="1" type="noConversion"/>
  </si>
  <si>
    <t>簡單講一下，先發郵件，可能周二上午見面</t>
    <phoneticPr fontId="1" type="noConversion"/>
  </si>
  <si>
    <t>人在日本</t>
    <phoneticPr fontId="1" type="noConversion"/>
  </si>
  <si>
    <t>新盛力</t>
    <phoneticPr fontId="1" type="noConversion"/>
  </si>
  <si>
    <t>人在南港</t>
    <phoneticPr fontId="1" type="noConversion"/>
  </si>
  <si>
    <t>他說他休假中</t>
    <phoneticPr fontId="1" type="noConversion"/>
  </si>
  <si>
    <t>不是硬體RD，不願意轉介紹</t>
    <phoneticPr fontId="1" type="noConversion"/>
  </si>
  <si>
    <t>要有全名</t>
    <phoneticPr fontId="1" type="noConversion"/>
  </si>
  <si>
    <t>請我先寄Email</t>
    <phoneticPr fontId="1" type="noConversion"/>
  </si>
  <si>
    <t>下周二下午</t>
    <phoneticPr fontId="1" type="noConversion"/>
  </si>
  <si>
    <t>要全名</t>
    <phoneticPr fontId="1" type="noConversion"/>
  </si>
  <si>
    <t>幾乎都是買現成的，BMS是其他部門設計，幫忙Loop</t>
    <phoneticPr fontId="1" type="noConversion"/>
  </si>
  <si>
    <t>暫定下週二</t>
    <phoneticPr fontId="1" type="noConversion"/>
  </si>
  <si>
    <t>可以推，建議Gigo這邊先確認好之後，他這邊會建code</t>
    <phoneticPr fontId="1" type="noConversion"/>
  </si>
  <si>
    <t>週三</t>
    <phoneticPr fontId="1" type="noConversion"/>
  </si>
  <si>
    <t>Maspower又有進3000pcs，說有篩過。</t>
    <phoneticPr fontId="1" type="noConversion"/>
  </si>
  <si>
    <t>還不確定可碰面時間</t>
    <phoneticPr fontId="1" type="noConversion"/>
  </si>
  <si>
    <t>目前都是透過台科的RD跟大陸廠商對接銅條廠商，我們願意簽合同才有可能再有機會合作。</t>
    <phoneticPr fontId="1" type="noConversion"/>
  </si>
  <si>
    <t>詢問新訂單可能性</t>
    <phoneticPr fontId="1" type="noConversion"/>
  </si>
  <si>
    <t>討論年底訂單事宜</t>
    <phoneticPr fontId="1" type="noConversion"/>
  </si>
  <si>
    <t>提出年底專案。</t>
    <phoneticPr fontId="1" type="noConversion"/>
  </si>
  <si>
    <t>週四開會</t>
    <phoneticPr fontId="1" type="noConversion"/>
  </si>
  <si>
    <t>目前還沒討論出要不要</t>
    <phoneticPr fontId="1" type="noConversion"/>
  </si>
  <si>
    <t>改週五見面</t>
    <phoneticPr fontId="1" type="noConversion"/>
  </si>
  <si>
    <t>討論銅條設計，請他們先簡化設計，銅排還要等第一版出來後才會定案。</t>
    <phoneticPr fontId="1" type="noConversion"/>
  </si>
  <si>
    <t>交NDA、廉潔正本，討論年度議價。</t>
    <phoneticPr fontId="1" type="noConversion"/>
  </si>
  <si>
    <t>1. 先確認兩次測試差異
2. 測單顆Relay拉出確切測試條件
3. 看測試結果再看宏發是否出報告?
4. 若不OK再考慮是否再次加強</t>
    <phoneticPr fontId="1" type="noConversion"/>
  </si>
  <si>
    <t>https://www.sensata.com/sites/default/files/a/sensata-gigavac-GVB35-series-contactor-datasheet.pdf
https://www.littelfuse.com/assetdocs/littelfuse-dcnsev-30-datasheet?assetguid=5d19bac1-f1f9-4827-8d58-fae5711f33ab
1. Vicro型號提供(車規)，BBU案子用
2. 銅條圖提供
3. Relay方案提供</t>
    <phoneticPr fontId="1" type="noConversion"/>
  </si>
  <si>
    <t>目前其他機種安規驗證需要花時間處理，PIM測試會延到12月。</t>
    <phoneticPr fontId="1" type="noConversion"/>
  </si>
  <si>
    <t>UCC14141在台灣買，A-D在大陸買。</t>
    <phoneticPr fontId="1" type="noConversion"/>
  </si>
  <si>
    <t>約碰面。</t>
    <phoneticPr fontId="1" type="noConversion"/>
  </si>
  <si>
    <t>1. Busbar跟江工討論
2. 與柏彥、顥展通話</t>
    <phoneticPr fontId="1" type="noConversion"/>
  </si>
  <si>
    <t>1. 一些細節問題須再跟David確認
2. 下周與顥展碰面</t>
    <phoneticPr fontId="1" type="noConversion"/>
  </si>
  <si>
    <t>明早10點</t>
    <phoneticPr fontId="1" type="noConversion"/>
  </si>
  <si>
    <t>明早11點</t>
    <phoneticPr fontId="1" type="noConversion"/>
  </si>
  <si>
    <t>莊明儒</t>
    <phoneticPr fontId="1" type="noConversion"/>
  </si>
  <si>
    <t>討論Busbar設計，明天下午13:30碰面。</t>
    <phoneticPr fontId="1" type="noConversion"/>
  </si>
  <si>
    <t>蔡武雄</t>
    <phoneticPr fontId="1" type="noConversion"/>
  </si>
  <si>
    <t>康銘仁</t>
    <phoneticPr fontId="1" type="noConversion"/>
  </si>
  <si>
    <t>明天下午4點</t>
    <phoneticPr fontId="1" type="noConversion"/>
  </si>
  <si>
    <t>有用TI的開關穩壓器，先發資料過去再討論</t>
    <phoneticPr fontId="1" type="noConversion"/>
  </si>
  <si>
    <t>他是充電樁ME，因為光寶大陸有自己開發DC/DC Converter，所以我們推不進去，光寶的OBC部門已經收起來。</t>
    <phoneticPr fontId="1" type="noConversion"/>
  </si>
  <si>
    <t>請他幫忙轉介測試工程師、會用到DC/DC Converter的RD</t>
    <phoneticPr fontId="1" type="noConversion"/>
  </si>
  <si>
    <t>來穎</t>
    <phoneticPr fontId="1" type="noConversion"/>
  </si>
  <si>
    <t>林文川</t>
    <phoneticPr fontId="1" type="noConversion"/>
  </si>
  <si>
    <t>力億</t>
    <phoneticPr fontId="1" type="noConversion"/>
  </si>
  <si>
    <t>興能高</t>
    <phoneticPr fontId="1" type="noConversion"/>
  </si>
  <si>
    <t>做A-D SMPS 只有用開關穩壓器</t>
    <phoneticPr fontId="1" type="noConversion"/>
  </si>
  <si>
    <t>Alice</t>
    <phoneticPr fontId="1" type="noConversion"/>
  </si>
  <si>
    <t>#2251未接</t>
    <phoneticPr fontId="1" type="noConversion"/>
  </si>
  <si>
    <t>車王電</t>
    <phoneticPr fontId="1" type="noConversion"/>
  </si>
  <si>
    <t>卓建廷</t>
  </si>
  <si>
    <t>卓建廷</t>
    <phoneticPr fontId="1" type="noConversion"/>
  </si>
  <si>
    <t>蓋亞汽車</t>
    <phoneticPr fontId="1" type="noConversion"/>
  </si>
  <si>
    <t>蘇俊維</t>
    <phoneticPr fontId="1" type="noConversion"/>
  </si>
  <si>
    <t>台灣路德</t>
    <phoneticPr fontId="1" type="noConversion"/>
  </si>
  <si>
    <t>詹先生</t>
    <phoneticPr fontId="1" type="noConversion"/>
  </si>
  <si>
    <t>#809未接</t>
    <phoneticPr fontId="1" type="noConversion"/>
  </si>
  <si>
    <t>BLDC為主，有用600V以下MOS、IPM。大功率有用IGBT(老闆設計較多)，Triac也是大功率較多，幫客戶ODM 電路板設計。</t>
    <phoneticPr fontId="1" type="noConversion"/>
  </si>
  <si>
    <t>盈正豫順</t>
    <phoneticPr fontId="1" type="noConversion"/>
  </si>
  <si>
    <t>邱意婷</t>
    <phoneticPr fontId="1" type="noConversion"/>
  </si>
  <si>
    <t>威力暘</t>
    <phoneticPr fontId="1" type="noConversion"/>
  </si>
  <si>
    <t>鄭祐承</t>
    <phoneticPr fontId="1" type="noConversion"/>
  </si>
  <si>
    <r>
      <t>Flyback用IC、輔電用SiC 1700V/80m</t>
    </r>
    <r>
      <rPr>
        <sz val="11"/>
        <color theme="1"/>
        <rFont val="Calibri"/>
        <family val="1"/>
        <charset val="161"/>
      </rPr>
      <t>Ω</t>
    </r>
    <r>
      <rPr>
        <sz val="11"/>
        <color theme="1"/>
        <rFont val="新細明體"/>
        <family val="1"/>
        <charset val="136"/>
      </rPr>
      <t>(跟南港共用)、其他轉12V用</t>
    </r>
    <r>
      <rPr>
        <sz val="11"/>
        <color theme="1"/>
        <rFont val="新細明體"/>
        <family val="1"/>
        <charset val="136"/>
        <scheme val="minor"/>
      </rPr>
      <t>TI_LM5012(SOP8)，我們沒有該包裝。</t>
    </r>
    <phoneticPr fontId="1" type="noConversion"/>
  </si>
  <si>
    <t>莊明儒、蔣興文</t>
    <phoneticPr fontId="1" type="noConversion"/>
  </si>
  <si>
    <t>加雲聯網</t>
    <phoneticPr fontId="1" type="noConversion"/>
  </si>
  <si>
    <t>曹家鑫</t>
    <phoneticPr fontId="1" type="noConversion"/>
  </si>
  <si>
    <t>高銘駿</t>
    <phoneticPr fontId="1" type="noConversion"/>
  </si>
  <si>
    <t>亞福儲能</t>
    <phoneticPr fontId="1" type="noConversion"/>
  </si>
  <si>
    <t>純做電池芯</t>
    <phoneticPr fontId="1" type="noConversion"/>
  </si>
  <si>
    <t>Tony</t>
    <phoneticPr fontId="1" type="noConversion"/>
  </si>
  <si>
    <t>謝迦博</t>
    <phoneticPr fontId="1" type="noConversion"/>
  </si>
  <si>
    <t>洪啟明、黃詩凱</t>
    <phoneticPr fontId="1" type="noConversion"/>
  </si>
  <si>
    <t>邱修元 策採</t>
    <phoneticPr fontId="1" type="noConversion"/>
  </si>
  <si>
    <t>Busbar設計討論</t>
    <phoneticPr fontId="1" type="noConversion"/>
  </si>
  <si>
    <t>詹r</t>
    <phoneticPr fontId="1" type="noConversion"/>
  </si>
  <si>
    <t>蔡s</t>
    <phoneticPr fontId="1" type="noConversion"/>
  </si>
  <si>
    <t>陳冠宏、蔡武雄</t>
    <phoneticPr fontId="1" type="noConversion"/>
  </si>
  <si>
    <t>目前職位輪轉至買磁性元件，Relay、Fuse由邱先生購買，鄭先生買電子料，會幫我轉介。</t>
    <phoneticPr fontId="1" type="noConversion"/>
  </si>
  <si>
    <t>跟卓經理討論BMS、PDU，都有自己設計，先發信給他。</t>
    <phoneticPr fontId="1" type="noConversion"/>
  </si>
  <si>
    <t>找不到人，設計車用電子控制單元，可能有DC-DC。</t>
    <phoneticPr fontId="1" type="noConversion"/>
  </si>
  <si>
    <t>討論Busbar設計，下週須開會報告進度。</t>
    <phoneticPr fontId="1" type="noConversion"/>
  </si>
  <si>
    <t>談年度議價，先報MOQ沒過再意思降價一下。</t>
    <phoneticPr fontId="1" type="noConversion"/>
  </si>
  <si>
    <t>處理Busbar的事情，要再補兩片給他。</t>
    <phoneticPr fontId="1" type="noConversion"/>
  </si>
  <si>
    <t>與採購討論明創採購的內容與RD的配合，宏發的東西很少買，目前明緯3W買160元，Jerry那邊的案子應該是從創奕車輛部在買的PDU轉到明創自己做。</t>
    <phoneticPr fontId="1" type="noConversion"/>
  </si>
  <si>
    <t>週四上午碰面。</t>
    <phoneticPr fontId="1" type="noConversion"/>
  </si>
  <si>
    <t>跟Rita講我們的訴求，請她協助跟生管協調，要再跟她追蹤。</t>
    <phoneticPr fontId="1" type="noConversion"/>
  </si>
  <si>
    <t>要找一個72W的DC-DC，24V-24V純隔離用，要外插式，非PCB上使用。</t>
    <phoneticPr fontId="1" type="noConversion"/>
  </si>
  <si>
    <t>目前在等9萬顆鎧威特的料做篩選生產用，下周應該就會排上我們的了，3000pcs maspower說有篩選這件事情他沒有聽說。</t>
    <phoneticPr fontId="1" type="noConversion"/>
  </si>
  <si>
    <t>明年日本農機、儲能櫃的案子量會越來越多，Relay的用量至少2000pcs以上，Fuse單一型號至少500pcs，有個ABB隔離開關2萬元太貴請我找替代品。</t>
    <phoneticPr fontId="1" type="noConversion"/>
  </si>
  <si>
    <t>Relay、Fuse都是在大陸買，目前已經都有大陸方案，所以推的意義不大。</t>
    <phoneticPr fontId="1" type="noConversion"/>
  </si>
  <si>
    <t>討論DC-DC，明天碰面</t>
    <phoneticPr fontId="1" type="noConversion"/>
  </si>
  <si>
    <t>明天確認測試進度。</t>
    <phoneticPr fontId="1" type="noConversion"/>
  </si>
  <si>
    <t>時間都兜不上，下週只有周五有空，再約。</t>
    <phoneticPr fontId="1" type="noConversion"/>
  </si>
  <si>
    <t>下週二下午1:30碰面。</t>
    <phoneticPr fontId="1" type="noConversion"/>
  </si>
  <si>
    <t>下週二沒空。</t>
    <phoneticPr fontId="1" type="noConversion"/>
  </si>
  <si>
    <t>SCADA，人不在</t>
    <phoneticPr fontId="1" type="noConversion"/>
  </si>
  <si>
    <t>非設計部人員，電源大多都用明緯的，幫轉郵件。</t>
    <phoneticPr fontId="1" type="noConversion"/>
  </si>
  <si>
    <t>WK47</t>
    <phoneticPr fontId="1" type="noConversion"/>
  </si>
  <si>
    <t>Relay、Fuse在11月會測完，Relay目前只有我們跟樸實，Fuse只有我們，接下來會各買5台來小批量測試。
DC-DC需要找有防水IP67的產品，年用約200pcs，未來有可能會改回自己做，現在是需要趕著先有功能。</t>
    <phoneticPr fontId="1" type="noConversion"/>
  </si>
  <si>
    <t>1. DC Load MOS案推動
2. 直流系統Busbar進度</t>
    <phoneticPr fontId="1" type="noConversion"/>
  </si>
  <si>
    <t>1. 與柏彥通話、顥展碰面
2. 與蔣興文、莊明儒開會</t>
    <phoneticPr fontId="1" type="noConversion"/>
  </si>
  <si>
    <t>1. 跟蔣興文追蹤MOS測試情況
2. Busbar跟江工討論出一個方案，與致茂報告進度。</t>
    <phoneticPr fontId="1" type="noConversion"/>
  </si>
  <si>
    <t>1. 目前在等9萬顆鎧威特的料做篩選生產用，下周應該就會排上我們的了，3000pcs maspower說有篩選這件事情他沒有聽說。
2. 討論Busbar設計，下週須開會報告進度。</t>
    <phoneticPr fontId="1" type="noConversion"/>
  </si>
  <si>
    <t>偉祥</t>
    <phoneticPr fontId="1" type="noConversion"/>
  </si>
  <si>
    <t>WK48</t>
    <phoneticPr fontId="1" type="noConversion"/>
  </si>
  <si>
    <t>車王電(梧棲)</t>
    <phoneticPr fontId="1" type="noConversion"/>
  </si>
  <si>
    <t>陳經理#3655</t>
    <phoneticPr fontId="1" type="noConversion"/>
  </si>
  <si>
    <t>詹聖鴻</t>
    <phoneticPr fontId="1" type="noConversion"/>
  </si>
  <si>
    <t>鉦凱</t>
    <phoneticPr fontId="1" type="noConversion"/>
  </si>
  <si>
    <t>楊明鑫</t>
    <phoneticPr fontId="1" type="noConversion"/>
  </si>
  <si>
    <t>張宏榮</t>
    <phoneticPr fontId="1" type="noConversion"/>
  </si>
  <si>
    <t>春豆科技</t>
    <phoneticPr fontId="1" type="noConversion"/>
  </si>
  <si>
    <t>黃英烈</t>
    <phoneticPr fontId="1" type="noConversion"/>
  </si>
  <si>
    <t>王新傳、吳丹琪、何慶誠</t>
    <phoneticPr fontId="1" type="noConversion"/>
  </si>
  <si>
    <t>游智皓</t>
    <phoneticPr fontId="1" type="noConversion"/>
  </si>
  <si>
    <t>James</t>
    <phoneticPr fontId="1" type="noConversion"/>
  </si>
  <si>
    <t>郭美凰</t>
    <phoneticPr fontId="1" type="noConversion"/>
  </si>
  <si>
    <t>Tyler</t>
    <phoneticPr fontId="1" type="noConversion"/>
  </si>
  <si>
    <t>陳志濤</t>
    <phoneticPr fontId="1" type="noConversion"/>
  </si>
  <si>
    <t>智淵</t>
    <phoneticPr fontId="1" type="noConversion"/>
  </si>
  <si>
    <t>張凱筑</t>
    <phoneticPr fontId="1" type="noConversion"/>
  </si>
  <si>
    <t>約不到時間，周五才有空，不然就要再約。</t>
    <phoneticPr fontId="1" type="noConversion"/>
  </si>
  <si>
    <t>電控的東西都是大雅那邊設計的</t>
    <phoneticPr fontId="1" type="noConversion"/>
  </si>
  <si>
    <t>明日下午1:30</t>
    <phoneticPr fontId="1" type="noConversion"/>
  </si>
  <si>
    <t>關係維護</t>
    <phoneticPr fontId="1" type="noConversion"/>
  </si>
  <si>
    <t>討論訂單取消，請我一定不要取消。</t>
    <phoneticPr fontId="1" type="noConversion"/>
  </si>
  <si>
    <t>目前62360D
300pcs 2月交
200pcs 3月交
200pcs 4月交
61800
192pcs 2月交
96pcs 3月交
96pcs 4月交</t>
    <phoneticPr fontId="1" type="noConversion"/>
  </si>
  <si>
    <t>請我確認207H-1AH-F-C-12替代方案，近期有設計一個板子用比較多，可考慮宏發。</t>
    <phoneticPr fontId="1" type="noConversion"/>
  </si>
  <si>
    <t>討論Busbar新案細節</t>
    <phoneticPr fontId="1" type="noConversion"/>
  </si>
  <si>
    <t>確認目前62360D的生產排程，之前Q3、Q4的訂單比較少，所以組比較少，現在是訂單爆單，產能一個月240台滿檔，會一路組到明年Q1。Busbar至少100片要12月交，剩下100片要1月中交。</t>
    <phoneticPr fontId="1" type="noConversion"/>
  </si>
  <si>
    <t>WK49</t>
    <phoneticPr fontId="1" type="noConversion"/>
  </si>
  <si>
    <t>WK50</t>
    <phoneticPr fontId="1" type="noConversion"/>
  </si>
  <si>
    <t>WK51</t>
    <phoneticPr fontId="1" type="noConversion"/>
  </si>
  <si>
    <t>與EE詹先生碰面，接台灣各式馬達驅動、家電ODM，公司有PCBA廠，公司長期在走的200W左右的案子居多，用IRFP460設計，少數有會使用PIM、2in1IGBT的變頻器案子，很多台中工具機會找他們做客製，可以推薦宏發Relay、IGBT、IRFP460替代方案，手上有案子在設計用SiC可推薦DC-DC。</t>
    <phoneticPr fontId="1" type="noConversion"/>
  </si>
  <si>
    <t>BMS設計目前還未大量量產，目前正要開始跑安規轉量產，Jack推薦Relay、Fuse，還有DC-DC電源。</t>
    <phoneticPr fontId="1" type="noConversion"/>
  </si>
  <si>
    <t>1. 同意訂單取消，改原價下單明年交。
2. Relay部分報價。
3. 推薦DC Fuse。</t>
    <phoneticPr fontId="1" type="noConversion"/>
  </si>
  <si>
    <t>目前3.7KW都出去後，板子不夠用，12月中會再來第二批板子，會組上去測。</t>
    <phoneticPr fontId="1" type="noConversion"/>
  </si>
  <si>
    <t>Ray因為臨時跟董事長開會無法碰面，跟郭小姐這邊先介紹，需要再跟Ray談過。</t>
    <phoneticPr fontId="1" type="noConversion"/>
  </si>
  <si>
    <t>目前明緯樣品還沒來，我先看價格可不可以過，有先講過樣品可能要用買的，報價後先要求看看吧。</t>
    <phoneticPr fontId="1" type="noConversion"/>
  </si>
  <si>
    <t>目前新案還未有進度，其他的案子目前沒在動，Jerry這邊暫時先擺著。</t>
    <phoneticPr fontId="1" type="noConversion"/>
  </si>
  <si>
    <t>目前Murata的DC-DC可能12月會先做一板測試，但如果有更好的方案還是可以幫我測試，因為目前63745還在很初期階段，其他部分我們可能沒有適合的方案。現在PM希望治具盒再往上做更高安培數的版本，請我推薦800A以上的Relay，已發和誠800A、1000A規格書。</t>
    <phoneticPr fontId="1" type="noConversion"/>
  </si>
  <si>
    <t>跟武雄講目前我們75W的電源沒有IP67防水，他自己有找到方案了，暫時線不用報價。</t>
    <phoneticPr fontId="1" type="noConversion"/>
  </si>
  <si>
    <t>寫郵件跟Maggie解釋目前無法降價原因。電話上她說目前價格她無法下單，請我跟Rita談。</t>
    <phoneticPr fontId="1" type="noConversion"/>
  </si>
  <si>
    <t>因為生管目前滿檔的訂單要生產，我們Busbar要延後有些困難，所以我請黃進聰先把2026Q1目前確定的訂單先下下來，DD300片、ACIN400片，我請他確認一下為什麼會有這個數量落差。</t>
    <phoneticPr fontId="1" type="noConversion"/>
  </si>
  <si>
    <t>約下週五碰面。</t>
    <phoneticPr fontId="1" type="noConversion"/>
  </si>
  <si>
    <t>Power Relay是跟樸石買的，他是半導體測試設備的系統電，主要設計IC測試設備居多，非高壓應用所以交集點不大，但可以詳細交流看看，有斷路器需求想找便宜的。</t>
    <phoneticPr fontId="1" type="noConversion"/>
  </si>
  <si>
    <t>要考慮我司絕緣銅條的案子目前還在畫，預計12月中會把圖發給我。</t>
    <phoneticPr fontId="1" type="noConversion"/>
  </si>
  <si>
    <t>EE剛好在找Relay、Fuse，這兩年開的部門，準備自己設計BMS、PDU、Powerchain，目前還在初期階段，下下禮拜可以碰面。</t>
    <phoneticPr fontId="1" type="noConversion"/>
  </si>
  <si>
    <t>暫定下週二。</t>
    <phoneticPr fontId="1" type="noConversion"/>
  </si>
  <si>
    <t>目前改完測量位置後波形跟茂楠那時候測試的波形較為相似，但是實際測試情況他還沒跟暐哲問。先問一下目前暫訂週二碰面。</t>
    <phoneticPr fontId="1" type="noConversion"/>
  </si>
  <si>
    <t>請他給我系統電的人，我需要討論Relay的規格問題，因為Gigavac規格看起來很奇怪，可能需要了解實際使用工況，可能的話下週三會再跟他們碰面，目前他們是有空。</t>
    <phoneticPr fontId="1" type="noConversion"/>
  </si>
  <si>
    <t>WK52</t>
    <phoneticPr fontId="1" type="noConversion"/>
  </si>
  <si>
    <t>WK53</t>
    <phoneticPr fontId="1" type="noConversion"/>
  </si>
  <si>
    <t>目前新案子在考慮用IPM或EasyPIM，因空間限制，請我推薦15A、30A/650V，另外請我報報看GBJ5010(梳型)。跟王先生說，因為Q1匯川滿檔拿MM40G3T120B，請他年底先拿一些走，不然明年Q1很難叫，只能用調的。另外MM40G3U65B、MM75G3T65B提供樣品。</t>
    <phoneticPr fontId="1" type="noConversion"/>
  </si>
  <si>
    <t>1. 與蔣興文通話
2. 與柏彥約下週碰面</t>
    <phoneticPr fontId="1" type="noConversion"/>
  </si>
  <si>
    <t>1. 電容板確定沒有要鎖其他東西，要再跟機構討論。
2. MOS還沒確認上產線，要改找柏彥確認。</t>
    <phoneticPr fontId="1" type="noConversion"/>
  </si>
  <si>
    <t>伍翔瑜</t>
    <phoneticPr fontId="1" type="noConversion"/>
  </si>
  <si>
    <t>林暐哲、張智淵</t>
    <phoneticPr fontId="1" type="noConversion"/>
  </si>
  <si>
    <t>Jamie、Jason</t>
    <phoneticPr fontId="1" type="noConversion"/>
  </si>
  <si>
    <t>詹老闆</t>
    <phoneticPr fontId="1" type="noConversion"/>
  </si>
  <si>
    <t>人不在公司</t>
    <phoneticPr fontId="1" type="noConversion"/>
  </si>
  <si>
    <t>新項目討論</t>
    <phoneticPr fontId="1" type="noConversion"/>
  </si>
  <si>
    <t>許耀麒</t>
    <phoneticPr fontId="1" type="noConversion"/>
  </si>
  <si>
    <t>黃昌玥</t>
    <phoneticPr fontId="1" type="noConversion"/>
  </si>
  <si>
    <t>#2251人在開會</t>
    <phoneticPr fontId="1" type="noConversion"/>
  </si>
  <si>
    <t>蕭義文 機構</t>
    <phoneticPr fontId="1" type="noConversion"/>
  </si>
  <si>
    <t>確認目前測試狀況，約明天碰面</t>
    <phoneticPr fontId="1" type="noConversion"/>
  </si>
  <si>
    <t>約明天碰面討論Busbar</t>
    <phoneticPr fontId="1" type="noConversion"/>
  </si>
  <si>
    <t>目前大功率案子大多都還是老闆處理，還是要問他。SiC Driver電源部分讓他對一下規格，因為空間限制原因，會考慮用RECOM設計。</t>
    <phoneticPr fontId="1" type="noConversion"/>
  </si>
  <si>
    <t>約週三討論Relay、DC-DC規格問題。</t>
    <phoneticPr fontId="1" type="noConversion"/>
  </si>
  <si>
    <t>確認郵件轉發情況，因為目前其他部門的東西都還在設計中，可能還不會那麼快。</t>
    <phoneticPr fontId="1" type="noConversion"/>
  </si>
  <si>
    <t>跟王先生講說匯川Q1會拿很多MM40G3T120B，請他年底多拿一些，讓他點一下庫存。另外，現在幾個鑽孔機、麵粉機的設計規格越來越多，要幫他申請MM40G3U65B、MM75G3T65B樣品，GBJ5010價格若還可以，可以轉給我做，再報價。目前也有另一種鑽孔機用BLDC要一體成形要考慮用PIM做，報價30A/650V、15A/650V。</t>
    <phoneticPr fontId="1" type="noConversion"/>
  </si>
  <si>
    <t>目前產線還在排測生產用的鍇威特MOS，估計會到下週才會排上測試我們的，測試完應該會再看一次單模組低壓段有無震盪，然後組全機。</t>
    <phoneticPr fontId="1" type="noConversion"/>
  </si>
  <si>
    <t>明天上午碰面。</t>
    <phoneticPr fontId="1" type="noConversion"/>
  </si>
  <si>
    <t>目前從倉庫領的二線拿出來測試，L檔200~300次沾黏，H檔1000多次碳化開路，接下來直接測試測單顆，屆時看次數如何，可能會再讓宏發這邊比照條件摸底測試。</t>
    <phoneticPr fontId="1" type="noConversion"/>
  </si>
  <si>
    <t>討論Busbar的形式，目前考慮每櫃直接做五層，降低電感去抵銷di/dt帶來的電阻上升。</t>
    <phoneticPr fontId="1" type="noConversion"/>
  </si>
  <si>
    <t>原想說直接約見面，改名天碰面</t>
    <phoneticPr fontId="1" type="noConversion"/>
  </si>
  <si>
    <t>GBJ5010確認規格，請我開報價單、MOQ。</t>
    <phoneticPr fontId="1" type="noConversion"/>
  </si>
  <si>
    <t>見面討論63245案子進度，目前被急生產的用料卡住無法篩選我們的MOS，前期他決定架構並挑選MOS規格，但後期大多都定案後，他目前只有協助排除設計問題，用料的驗證他已經沒有再參與，他們都是看蔣興文決定分配給誰處理，而且都是開會時看各個人情況決定任務，很少一起處理，他目前比較專注在新的水冷的案子裡。</t>
    <phoneticPr fontId="1" type="noConversion"/>
  </si>
  <si>
    <t>1. 講好年度議價的條件。2. 確認目前61860HF的議價事宜 3.討論請我估價的Busbar，並推薦我去找Jimmy討論，這個案子是他在負責。</t>
    <phoneticPr fontId="1" type="noConversion"/>
  </si>
  <si>
    <t>1. DC-DC後來放棄AEC-Q100的認證產品，目前Prototype會用Vicor 500W產品先做，後面基本上可能會選用POWI  InnoBric 400V to 12V /60W ( 2並)，若有更好的方案他們會選我們的。
2. Relay GVB35實際使用是250A/800V，另一顆是250A/1500V，0載接通，我推薦的和誠Relay估計可以使用，Jason請我再發3D圖給他們去對一下機構，確認好就會請我報價。</t>
    <phoneticPr fontId="1" type="noConversion"/>
  </si>
  <si>
    <t>約下週五碰面，會帶上機構的人跟我碰面。</t>
    <phoneticPr fontId="1" type="noConversion"/>
  </si>
  <si>
    <t>明緯3W 樣品價170元、6W 量產價160元。請RECOM報價，目標最好讓他共用6W的。</t>
    <phoneticPr fontId="1" type="noConversion"/>
  </si>
  <si>
    <t>在客戶那邊，再聯絡。</t>
    <phoneticPr fontId="1" type="noConversion"/>
  </si>
  <si>
    <t>電話還是沒修好</t>
    <phoneticPr fontId="1" type="noConversion"/>
  </si>
  <si>
    <t>講年度議價</t>
    <phoneticPr fontId="1" type="noConversion"/>
  </si>
  <si>
    <t>請我報230元，我請他把FUSE的規格全部都給我。</t>
    <phoneticPr fontId="1" type="noConversion"/>
  </si>
  <si>
    <t>跟博雅開會，事後打給翔榆講說我們要改做法，目前看起來還算可行，請他給我目標壓降、以及他實測的電阻值。</t>
    <phoneticPr fontId="1" type="noConversion"/>
  </si>
  <si>
    <t>跟他講我們現在的進度，他目前也被催趕要知道我們的進度到哪了。</t>
    <phoneticPr fontId="1" type="noConversion"/>
  </si>
  <si>
    <t>Danny</t>
    <phoneticPr fontId="1" type="noConversion"/>
  </si>
  <si>
    <t>主要負責3650、3680機種，A-D都買AE、MW，DC-DC都是用Vicor居多，其他無太多交集點，請他推薦同事把Vicor型號給我們。</t>
    <phoneticPr fontId="1" type="noConversion"/>
  </si>
  <si>
    <t>目前蘇州端的部屬還是他在處理，包括62450D、61860HF的SiC替代料測試，但現在大多數時間都在處理62450D的議題，SiC Diode用Winn問題很多，FSS目前比較強壯，請他給我們SiC Diode的型號及ESD驗證方法，看我們能不能幫他解決問題，目前一個模組裝66pcs。</t>
    <phoneticPr fontId="1" type="noConversion"/>
  </si>
  <si>
    <t>MM30FU120B科風要下單1000pcs，但MOQ報5000pcs，我給1000pcs價格。</t>
    <phoneticPr fontId="1" type="noConversion"/>
  </si>
  <si>
    <t>目前500pcs是為了要做幾台模組，ACIN會到1月初下單一批。</t>
    <phoneticPr fontId="1" type="noConversion"/>
  </si>
  <si>
    <t>12月100片往後移到一月底，ACIN還會有500片、DD600片，都是在Q1交，接下來62360D會擴充產能。</t>
    <phoneticPr fontId="1" type="noConversion"/>
  </si>
  <si>
    <t>討論Relay規格事情。</t>
    <phoneticPr fontId="1" type="noConversion"/>
  </si>
  <si>
    <t>請他給我Vicor型號，他會再發郵件給我。</t>
    <phoneticPr fontId="1" type="noConversion"/>
  </si>
  <si>
    <t>1. 與柏彥、建興碰面
2. 與翔榆、劉黎明討論改善方式</t>
    <phoneticPr fontId="1" type="noConversion"/>
  </si>
  <si>
    <t>1.目前產線還在排測生產用的鍇威特MOS，估計會到下週才會排上測試我們的，測試完應該會再看一次單模組低壓段有無震盪，然後組全機。
2. 目前討論出一種新的走線方式，待與致茂提案</t>
    <phoneticPr fontId="1" type="noConversion"/>
  </si>
  <si>
    <t>1. 下周與廠工確認測試進度
2.催促博雅把圖畫出來，跟王國政開會</t>
    <phoneticPr fontId="1" type="noConversion"/>
  </si>
  <si>
    <t>目前已經測試完Relay，會等1月的案子裝在新機當中，會下一~兩台的量去試小批量。</t>
    <phoneticPr fontId="1" type="noConversion"/>
  </si>
  <si>
    <t>泰映</t>
    <phoneticPr fontId="1" type="noConversion"/>
  </si>
  <si>
    <t>陳冠宏</t>
    <phoneticPr fontId="1" type="noConversion"/>
  </si>
  <si>
    <t>目前IRON機種會先暫停測試，會再下3pcs Relay 驗證到240KW、360KW機種，並推薦該機種FUSE，原本用中熔請他給我型號。</t>
    <phoneticPr fontId="1" type="noConversion"/>
  </si>
  <si>
    <t>討論IGBT規格問題，周五碰面</t>
    <phoneticPr fontId="1" type="noConversion"/>
  </si>
  <si>
    <t>目前3D都對得差不多了，目前都可以，請我報價，1500V暫時不報，約訪可能要到下週。</t>
    <phoneticPr fontId="1" type="noConversion"/>
  </si>
  <si>
    <t>週五碰面。</t>
    <phoneticPr fontId="1" type="noConversion"/>
  </si>
  <si>
    <t>週四碰面。</t>
    <phoneticPr fontId="1" type="noConversion"/>
  </si>
  <si>
    <t>週三下午碰面。</t>
    <phoneticPr fontId="1" type="noConversion"/>
  </si>
  <si>
    <t>洪子騫</t>
    <phoneticPr fontId="1" type="noConversion"/>
  </si>
  <si>
    <t>63245目前的PJM，10月份接手的，週四碰面</t>
    <phoneticPr fontId="1" type="noConversion"/>
  </si>
  <si>
    <t>確認排單情況，每個月各要拿多少，目前還不是非常確定，但四月一定會拿完8904。</t>
    <phoneticPr fontId="1" type="noConversion"/>
  </si>
  <si>
    <t>劉適豪</t>
    <phoneticPr fontId="1" type="noConversion"/>
  </si>
  <si>
    <t>與Jack去碰面</t>
    <phoneticPr fontId="1" type="noConversion"/>
  </si>
  <si>
    <t>交接業務</t>
    <phoneticPr fontId="1" type="noConversion"/>
  </si>
  <si>
    <t>因為麥思浦篩選完組全機在800~900V又炸機，所以目前會優先處理我們的震盪問題。同時目前也有下單3000pcs的IXTH12N150那來測試備案，但是交期太糟糕了。請他趕緊幫我們催促上產線篩選。</t>
    <phoneticPr fontId="1" type="noConversion"/>
  </si>
  <si>
    <t>陳信宏、關文鈞、張興三</t>
    <phoneticPr fontId="1" type="noConversion"/>
  </si>
  <si>
    <t>目前整流橋先買來備著，有機會測試時會把它裝上去測試，無法有個明確的時間。</t>
    <phoneticPr fontId="1" type="noConversion"/>
  </si>
  <si>
    <t>弄Busbar的事情</t>
    <phoneticPr fontId="1" type="noConversion"/>
  </si>
  <si>
    <t>游先生</t>
    <phoneticPr fontId="1" type="noConversion"/>
  </si>
  <si>
    <t>需要設計比原本機種更小的機台，考慮用IGBT Discrete或SiC MOS去設計，已報價MM75G5U120BM、E32SML-120K，會買樣品來測試。</t>
    <phoneticPr fontId="1" type="noConversion"/>
  </si>
  <si>
    <t>張凱筑、徐如盛、劉冠廷</t>
    <phoneticPr fontId="1" type="noConversion"/>
  </si>
  <si>
    <t>推薦我司IGBT、Busbar、繼電器、FUSE。目前明年中要發行自行設計的250KW powerchain，目前用SiC MOS 6in1模組已定案，Busbar有一些機會討論，要找Tony，繼電器、FUSE要請Ben推薦人，另外見到採購Terry，要再跟他約時間。</t>
    <phoneticPr fontId="1" type="noConversion"/>
  </si>
  <si>
    <t>目前選FF800R12KE7-E，未來量不多，看獅們有沒有要弄。其他目前沒有交集點。</t>
    <phoneticPr fontId="1" type="noConversion"/>
  </si>
  <si>
    <t>1. 與PJM子騫碰面
2. 與劉黎明進度討論</t>
    <phoneticPr fontId="1" type="noConversion"/>
  </si>
  <si>
    <t>1.因為麥思浦篩選完組全機在800~900V又炸機，所以目前會優先處理我們的震盪問題。同時目前也有下單3000pcs的IXTH12N150那來測試備案，但是交期太糟糕了。請他趕緊幫我們催促上產線篩選。
2. 目前劉黎明已出部分模型。</t>
    <phoneticPr fontId="1" type="noConversion"/>
  </si>
  <si>
    <t>1. 追蹤自動測試篩選進度，聯繫張志龍
2. 與蔣興文、David、莊明儒報告進度</t>
    <phoneticPr fontId="1" type="noConversion"/>
  </si>
  <si>
    <t>跟他延後評鑑資料補齊時間，問說蔣興文出差有沒有去訪廠，通常要訪大陸廠一定會找他去，但他沒有再跟蔣去其他廠看了。</t>
    <phoneticPr fontId="1" type="noConversion"/>
  </si>
  <si>
    <t>討論圖面，明天下午碰面，請他約明儒。</t>
    <phoneticPr fontId="1" type="noConversion"/>
  </si>
  <si>
    <t>LINE、桌機未接</t>
    <phoneticPr fontId="1" type="noConversion"/>
  </si>
  <si>
    <t>手機、桌機未接</t>
    <phoneticPr fontId="1" type="noConversion"/>
  </si>
  <si>
    <t>週四下午1:30碰面</t>
    <phoneticPr fontId="1" type="noConversion"/>
  </si>
  <si>
    <t>週五下午14:00碰面</t>
    <phoneticPr fontId="1" type="noConversion"/>
  </si>
  <si>
    <t>邱建民</t>
    <phoneticPr fontId="1" type="noConversion"/>
  </si>
  <si>
    <t>週三下午1:30碰面</t>
    <phoneticPr fontId="1" type="noConversion"/>
  </si>
  <si>
    <t>週四上午碰面</t>
    <phoneticPr fontId="1" type="noConversion"/>
  </si>
  <si>
    <t>明天下午碰面</t>
    <phoneticPr fontId="1" type="noConversion"/>
  </si>
  <si>
    <t>我講說先弄5pcs給他試，另外之前談的IGBT樣品也會一併申請給他。</t>
    <phoneticPr fontId="1" type="noConversion"/>
  </si>
  <si>
    <t>請他幫忙轉郵件，並提供Terry聯繫方式。</t>
    <phoneticPr fontId="1" type="noConversion"/>
  </si>
  <si>
    <t>約週二下午3:00碰面</t>
    <phoneticPr fontId="1" type="noConversion"/>
  </si>
  <si>
    <t>Terry</t>
    <phoneticPr fontId="1" type="noConversion"/>
  </si>
  <si>
    <t>週五上午10:30碰面</t>
    <phoneticPr fontId="1" type="noConversion"/>
  </si>
  <si>
    <t>蔡r、Frank</t>
    <phoneticPr fontId="1" type="noConversion"/>
  </si>
  <si>
    <t>週三下午3:00碰面</t>
    <phoneticPr fontId="1" type="noConversion"/>
  </si>
  <si>
    <t>5W的A-D電源目前機構是塞不下，但這個不急，優先序沒那麼前面。SiC Driver電源請他再看一次，希望可以做。另外他們要做台達UPS的電池包，雖然台達本身就有提供輔助電源給小電，但是他覺得不夠乾淨，可能還要再掛一個隔離電源，要跟他約下週碰面。</t>
    <phoneticPr fontId="1" type="noConversion"/>
  </si>
  <si>
    <t>問自動化測試的事情，他下午剛好要去問這件事情，他會先問產工工單那邊，再跟生管協調看看。</t>
    <phoneticPr fontId="1" type="noConversion"/>
  </si>
  <si>
    <t>莊明儒、伍翔榆</t>
    <phoneticPr fontId="1" type="noConversion"/>
  </si>
  <si>
    <t>會議決定還是以從頭併到尾，以五片疊層的方式每櫃設計一樣，用分層、加後來抵銷阻抗。 有跟劉黎明開會討論更改走法，晚上他會跟江楠、孫工討論一下，明天早上跟我對。</t>
    <phoneticPr fontId="1" type="noConversion"/>
  </si>
  <si>
    <t>廣達</t>
    <phoneticPr fontId="1" type="noConversion"/>
  </si>
  <si>
    <t>羅志光</t>
    <phoneticPr fontId="1" type="noConversion"/>
  </si>
  <si>
    <t>此人已離職</t>
    <phoneticPr fontId="1" type="noConversion"/>
  </si>
  <si>
    <t>吳家豪</t>
    <phoneticPr fontId="1" type="noConversion"/>
  </si>
  <si>
    <t>張榮志</t>
    <phoneticPr fontId="1" type="noConversion"/>
  </si>
  <si>
    <t>Hank</t>
    <phoneticPr fontId="1" type="noConversion"/>
  </si>
  <si>
    <t>黃卜慶</t>
    <phoneticPr fontId="1" type="noConversion"/>
  </si>
  <si>
    <t>Luca</t>
    <phoneticPr fontId="1" type="noConversion"/>
  </si>
  <si>
    <t>目前沒有辦法回頭測試其他繼電器，只能等2月2rd source測試</t>
    <phoneticPr fontId="1" type="noConversion"/>
  </si>
  <si>
    <t>他們主要是做歐美品牌的Power Chain，繼電器用在BMS出來升壓後的隔離，目前是用宏發的450A/1000V，IGBT絕對會用國外品牌，用料絕對要有非中國的生產證明。</t>
    <phoneticPr fontId="1" type="noConversion"/>
  </si>
  <si>
    <t>上一版3KW是用MM40G3U65B設計，目前4KW的Type還是回頭用英飛凌設計，要回頭用我們的，我認為還有一段路要走，不建議花時間。</t>
    <phoneticPr fontId="1" type="noConversion"/>
  </si>
  <si>
    <t>討論Relay機構問題，無法與YM共用，但是鎖緊一點還是可以測試，未來可以回頭改沒關係。</t>
    <phoneticPr fontId="1" type="noConversion"/>
  </si>
  <si>
    <t>跟子元討論鎖緊一點可以測試，價格我可以降下來，但是他們目前還是沒有辦法回頭再拿別的繼電器去回頭組全機測試。</t>
    <phoneticPr fontId="1" type="noConversion"/>
  </si>
  <si>
    <t>帶Jack去交接，IGBT要補訂單，鐵粉芯要等明年第一季尾討論。</t>
    <phoneticPr fontId="1" type="noConversion"/>
  </si>
  <si>
    <t>目前散熱器來了，機殼還沒來，等測試全機的溫昇，Q1要跟緊，目前有我們、英飛凌、日晟的插板，全部都多並一顆後測試應該沒什麼問題，後面應該就是要盯緊價格部分。</t>
    <phoneticPr fontId="1" type="noConversion"/>
  </si>
  <si>
    <t>業務經理，選料還是要找邱健民，但還是沒有鐵路認證的要求，所以大機率沒局。</t>
    <phoneticPr fontId="1" type="noConversion"/>
  </si>
  <si>
    <t>討論Busbar承認書的事情。</t>
    <phoneticPr fontId="1" type="noConversion"/>
  </si>
  <si>
    <t>打過去，還沒認真看我的郵件，再約時間。</t>
    <phoneticPr fontId="1" type="noConversion"/>
  </si>
  <si>
    <t>2500V的Relay後面轉給售服專門做至鉅的部門處理，轉介給Hank</t>
    <phoneticPr fontId="1" type="noConversion"/>
  </si>
  <si>
    <t>Hank表示目前都是在跟鐳洋接洽，
50A/2500V 給17050特定客戶做治具(鐳洋報價給Hank，還下單)
350A/2500V 給62450D特定客戶做治具，實際只要250A(新案子，鐳洋還沒報價，Tri-light正在跟我們詢)</t>
    <phoneticPr fontId="1" type="noConversion"/>
  </si>
  <si>
    <t>下週三上午11點碰面。</t>
    <phoneticPr fontId="1" type="noConversion"/>
  </si>
  <si>
    <t>下週沒時間碰面，中熔型號已經發過來。</t>
    <phoneticPr fontId="1" type="noConversion"/>
  </si>
  <si>
    <t>約下週二10:30碰面</t>
    <phoneticPr fontId="1" type="noConversion"/>
  </si>
  <si>
    <t>講目前1000V以上的Relay沒有辦法進到台灣，建議用IGBT或別的方式做開關，請他們先不要跟鐳洋提這件事，若要幫忙操作拿進台灣，也不能讓太多人知道。請李經理打給Darren。</t>
    <phoneticPr fontId="1" type="noConversion"/>
  </si>
  <si>
    <t>看中車的SiC MOS HPD規格，報價看看。</t>
    <phoneticPr fontId="1" type="noConversion"/>
  </si>
  <si>
    <t>討論客製PDU，請他先發他要的規格，我們跟和誠討論看看。</t>
    <phoneticPr fontId="1" type="noConversion"/>
  </si>
  <si>
    <t>Relay想要客製加工，我請他先買FUSE去測試，若他真的下單FUSE，我就去跟和誠討論，先報價FUSE。</t>
    <phoneticPr fontId="1" type="noConversion"/>
  </si>
  <si>
    <t>1.與子騫確認進度
2.與劉黎明定調方向</t>
    <phoneticPr fontId="1" type="noConversion"/>
  </si>
  <si>
    <t>1. 才要跟生管討論測試排程插隊，還未追蹤狀態。
2. 下週一會有模型給我。</t>
    <phoneticPr fontId="1" type="noConversion"/>
  </si>
  <si>
    <t>李經理</t>
    <phoneticPr fontId="1" type="noConversion"/>
  </si>
  <si>
    <t>邱鈿翔</t>
    <phoneticPr fontId="1" type="noConversion"/>
  </si>
  <si>
    <t>EFD Norway</t>
    <phoneticPr fontId="1" type="noConversion"/>
  </si>
  <si>
    <t>1. DC Load MOS案推動
2. 直流系統Busbar進度
3. 治具盒案件</t>
    <phoneticPr fontId="1" type="noConversion"/>
  </si>
  <si>
    <t>1.與子騫確認進度
2.與博雅開會
3. 與Hank碰面</t>
    <phoneticPr fontId="1" type="noConversion"/>
  </si>
  <si>
    <t>1. 目前處理炸機沒有人有空去產線弄，只能兩週後才有辦法。
2. 等模型、仿真。
3. 先建料號，Dian預計下64pcs樣品。</t>
    <phoneticPr fontId="1" type="noConversion"/>
  </si>
  <si>
    <t>討論DC Fuse 先提供規格書，後報價</t>
    <phoneticPr fontId="1" type="noConversion"/>
  </si>
  <si>
    <t>處理Busbar的事情</t>
    <phoneticPr fontId="1" type="noConversion"/>
  </si>
  <si>
    <t>討論和誠Relay的事情</t>
    <phoneticPr fontId="1" type="noConversion"/>
  </si>
  <si>
    <t>送樣SiC Diode，預計兩週測完，有一些應用問題要問FAE，
1. IPC-A-610J標準，需跟PCBA廠要求
2. 跟頻率無關，二極體可以扛到300~500Khz
3. FAE也不知道其標準封裝為什麼要有pin2，國內大多客戶都會用矽橡膠絕緣起來，不然真的有機率會打火，Wolfspeed少掉pin2的確是這個原因。</t>
    <phoneticPr fontId="1" type="noConversion"/>
  </si>
  <si>
    <t>目前案子都還很遙遠，提供DC-DC(1W,15V-5V,3KV隔離)參考，DC Fuse 100A/500V</t>
    <phoneticPr fontId="1" type="noConversion"/>
  </si>
  <si>
    <t>Relay特殊應用需求，問規格問題，已提供相關回覆。</t>
    <phoneticPr fontId="1" type="noConversion"/>
  </si>
  <si>
    <t>目前Relay都已用TDK，目前機種都以跑完安規，TDK一年用幾千只，需要蹲。</t>
    <phoneticPr fontId="1" type="noConversion"/>
  </si>
  <si>
    <t>交接給Jack，目前確定明年有3000台訂單，約30萬業績。</t>
    <phoneticPr fontId="1" type="noConversion"/>
  </si>
  <si>
    <t>議價，目前還會有600pcs訂單要下。</t>
    <phoneticPr fontId="1" type="noConversion"/>
  </si>
  <si>
    <t>下午碰面。</t>
    <phoneticPr fontId="1" type="noConversion"/>
  </si>
  <si>
    <t>目前有HIITIO確定會跟我們走，目前治具盒因為設計為下產線，可能會委外製作幾台，這要再找李經理確認外包廠情況，但是Dian那邊會下單樣品。</t>
    <phoneticPr fontId="1" type="noConversion"/>
  </si>
  <si>
    <t>議價Mark那邊的治具盒，跟我提目前的需求要求備貨</t>
    <phoneticPr fontId="1" type="noConversion"/>
  </si>
  <si>
    <t>他系統電設計，要做62450D的並聯橋接箱，一台正負各4pcs，目前需要做8台，請我趕快給料號去讓Lynne申請致茂料號，約下週二下午碰面。 (週一通知我週二要出差，1月約)</t>
    <phoneticPr fontId="1" type="noConversion"/>
  </si>
  <si>
    <t>1. 暫無推動
2. 發出圖面及仿真
3. 報價Relay</t>
    <phoneticPr fontId="1" type="noConversion"/>
  </si>
  <si>
    <t>1. 催測MOS
2. 開會討論，並且出完整圖面及報價
3. 與邱鈿翔約時間</t>
    <phoneticPr fontId="1" type="noConversion"/>
  </si>
  <si>
    <t>Neddy</t>
    <phoneticPr fontId="1" type="noConversion"/>
  </si>
  <si>
    <t>Ximei Lu</t>
    <phoneticPr fontId="1" type="noConversion"/>
  </si>
  <si>
    <t>改1月碰面</t>
    <phoneticPr fontId="1" type="noConversion"/>
  </si>
  <si>
    <t>需求改600pcs，重新開報價單</t>
    <phoneticPr fontId="1" type="noConversion"/>
  </si>
  <si>
    <t>17050系統電設計部門，也會額外用50A、600A/2500V Relay，一台4+4pcs</t>
    <phoneticPr fontId="1" type="noConversion"/>
  </si>
  <si>
    <t>50A、600A/2500V，預計各下50pcs，1/2下單</t>
    <phoneticPr fontId="1" type="noConversion"/>
  </si>
  <si>
    <t>自己找和誠被打回來，會盡快跟他還有他主管、採購約會議</t>
    <phoneticPr fontId="1" type="noConversion"/>
  </si>
  <si>
    <t>確認發貨貨代，直接用DHL與上次一樣，待發CI、PL</t>
    <phoneticPr fontId="1" type="noConversion"/>
  </si>
  <si>
    <t>請我報價800A Relay，17050系統電在考慮。</t>
    <phoneticPr fontId="1" type="noConversion"/>
  </si>
  <si>
    <t>1. 暫無推動
2. 未確認會議時間
3. 報價Relay</t>
    <phoneticPr fontId="1" type="noConversion"/>
  </si>
  <si>
    <t>1.追蹤子騫
2.與David約會議討論
3.與Dian、Nedy約時間</t>
    <phoneticPr fontId="1" type="noConversion"/>
  </si>
  <si>
    <t>EF400N-020DK</t>
  </si>
  <si>
    <t>Electrocomp</t>
  </si>
  <si>
    <t>WK06</t>
    <phoneticPr fontId="1" type="noConversion"/>
  </si>
  <si>
    <t>Busbar</t>
    <phoneticPr fontId="1" type="noConversion"/>
  </si>
  <si>
    <t>MOS陳建樺</t>
    <phoneticPr fontId="1" type="noConversion"/>
  </si>
  <si>
    <t>項目</t>
    <phoneticPr fontId="8" type="noConversion"/>
  </si>
  <si>
    <t>供應商報價總表</t>
    <phoneticPr fontId="8" type="noConversion"/>
  </si>
  <si>
    <t>New Naming Rules PCN計畫</t>
    <phoneticPr fontId="8" type="noConversion"/>
  </si>
  <si>
    <t>報價專案管理制度建置</t>
    <phoneticPr fontId="8" type="noConversion"/>
  </si>
  <si>
    <t>Semiconductor 資料夾重新整理</t>
    <phoneticPr fontId="8" type="noConversion"/>
  </si>
  <si>
    <t>Training：Anil</t>
    <phoneticPr fontId="8" type="noConversion"/>
  </si>
  <si>
    <t>Training：Simon</t>
    <phoneticPr fontId="8" type="noConversion"/>
  </si>
  <si>
    <t>2/9~2/13</t>
    <phoneticPr fontId="8" type="noConversion"/>
  </si>
  <si>
    <t>2/23~2/26</t>
    <phoneticPr fontId="8" type="noConversion"/>
  </si>
  <si>
    <t>3/2~3/6</t>
    <phoneticPr fontId="8" type="noConversion"/>
  </si>
  <si>
    <t>3/9~3/13</t>
    <phoneticPr fontId="8" type="noConversion"/>
  </si>
  <si>
    <t>3/16~3/20</t>
    <phoneticPr fontId="8" type="noConversion"/>
  </si>
  <si>
    <t>3/23~3/27</t>
    <phoneticPr fontId="8" type="noConversion"/>
  </si>
  <si>
    <t>2月底國外發貨CI、PL貨代確認
與Jack出門見客戶
A：總表完成第一版可使用。
B：列出所有客戶使用舊料號的。
D：整理總表時順便翻過資料夾，計畫好怎麼修改。
G：確保好中瑞宏芯一切貿易條件，2月底發貨確認。</t>
    <phoneticPr fontId="8" type="noConversion"/>
  </si>
  <si>
    <t>年假</t>
    <phoneticPr fontId="8" type="noConversion"/>
  </si>
  <si>
    <t xml:space="preserve">月底發貨進出口報關
A：試行與修正。
B：列出所有客戶使用舊料號的表。
C：先構思操作方法下周提出。
D：整理資料夾
E：先選定好產品及應用
F：Simon Naming Rules檢視
G：中瑞小批量發貨
H：確認客戶意向
</t>
    <phoneticPr fontId="8" type="noConversion"/>
  </si>
  <si>
    <t>PI收尾款
B：擬定PCN文件。
C：與Darren討論利弊，下週提完整規劃。
E：準備英文版素材。
G：致茂測試。
H：討論打樣測試。</t>
    <phoneticPr fontId="8" type="noConversion"/>
  </si>
  <si>
    <t xml:space="preserve">國外客戶催款
B：與業務討論優先客戶對象，設定幾個常做產品。
C：提正式計畫。
E：Anil Training
</t>
    <phoneticPr fontId="8" type="noConversion"/>
  </si>
  <si>
    <t>CI、PL製作
進口報關
B：開始請客戶更改型號
C：試行1季</t>
    <phoneticPr fontId="8" type="noConversion"/>
  </si>
  <si>
    <t>國外發貨</t>
    <phoneticPr fontId="8" type="noConversion"/>
  </si>
  <si>
    <t>EG150T1-120B</t>
  </si>
  <si>
    <t>訂購日期</t>
  </si>
  <si>
    <t>客戶訂單</t>
  </si>
  <si>
    <t>業務人員</t>
  </si>
  <si>
    <t>客戶全稱</t>
  </si>
  <si>
    <t>產品編號</t>
  </si>
  <si>
    <t>單價</t>
  </si>
  <si>
    <t>數量</t>
  </si>
  <si>
    <t>匯率</t>
  </si>
  <si>
    <t>金額</t>
  </si>
  <si>
    <t>未出數量</t>
  </si>
  <si>
    <t>未出本幣金額</t>
  </si>
  <si>
    <t>已出數量</t>
  </si>
  <si>
    <t>預交日期</t>
  </si>
  <si>
    <t>業績月份</t>
    <phoneticPr fontId="14" type="noConversion"/>
  </si>
  <si>
    <t>Kent Feng</t>
  </si>
  <si>
    <t>2026/03/27</t>
  </si>
  <si>
    <t>2025/12/04</t>
  </si>
  <si>
    <t>2026/02/26</t>
  </si>
  <si>
    <t>PO84563</t>
  </si>
  <si>
    <t>MMG100S120B6UC</t>
  </si>
  <si>
    <r>
      <t xml:space="preserve">2026/4 </t>
    </r>
    <r>
      <rPr>
        <sz val="10"/>
        <color indexed="8"/>
        <rFont val="細明體"/>
        <family val="3"/>
        <charset val="136"/>
      </rPr>
      <t>發貨</t>
    </r>
    <phoneticPr fontId="16" type="noConversion"/>
  </si>
  <si>
    <t>MMG75S060B6TC</t>
  </si>
  <si>
    <t>2025/12/19</t>
  </si>
  <si>
    <t>ABI/1225/666</t>
  </si>
  <si>
    <t>Anilkumar</t>
  </si>
  <si>
    <t>Abi Instruments Private Ltd</t>
  </si>
  <si>
    <t>ES110R1GJ-160H</t>
  </si>
  <si>
    <t>2025/12/17</t>
  </si>
  <si>
    <t>ES200W3GG-160H</t>
  </si>
  <si>
    <t>ES330F2GJ-160H</t>
  </si>
  <si>
    <t>Anilkumar</t>
    <phoneticPr fontId="16" type="noConversion"/>
  </si>
  <si>
    <t>ES55R1GJ-160H</t>
  </si>
  <si>
    <t>ES600F10GJ-160H</t>
  </si>
  <si>
    <t>ES70R1GJ-160H</t>
  </si>
  <si>
    <t>2025/12/23</t>
  </si>
  <si>
    <t>5200019846</t>
  </si>
  <si>
    <t>Medha Servo Drives Pvt. Ltd</t>
  </si>
  <si>
    <t>MMF300S060B</t>
  </si>
  <si>
    <t>無PO</t>
  </si>
  <si>
    <t>2026/01/13</t>
  </si>
  <si>
    <t>E2505677</t>
  </si>
  <si>
    <t>Electronics Devices Worldwild Pvt. Ltd.</t>
    <phoneticPr fontId="16" type="noConversion"/>
  </si>
  <si>
    <t>2026/02/27</t>
  </si>
  <si>
    <r>
      <t>downpayment</t>
    </r>
    <r>
      <rPr>
        <sz val="10"/>
        <color indexed="8"/>
        <rFont val="細明體"/>
        <family val="3"/>
        <charset val="136"/>
      </rPr>
      <t>已付</t>
    </r>
    <phoneticPr fontId="16" type="noConversion"/>
  </si>
  <si>
    <t>2026/01/21</t>
  </si>
  <si>
    <t>PO84872</t>
  </si>
  <si>
    <t>2026/03/30</t>
  </si>
  <si>
    <t>2026/01/22</t>
  </si>
  <si>
    <t>004883</t>
  </si>
  <si>
    <t>S.CO.M.E.S. s.r.l.</t>
  </si>
  <si>
    <t>EG100T1-120B</t>
  </si>
  <si>
    <t>2026/01/31</t>
  </si>
  <si>
    <t>MMG300D060B6TC</t>
  </si>
  <si>
    <t>2026/01/26</t>
  </si>
  <si>
    <t>POF0125-00007929</t>
  </si>
  <si>
    <t>Sidwal Refrigeration Industries Pvt. Ltd.</t>
  </si>
  <si>
    <r>
      <t>LC</t>
    </r>
    <r>
      <rPr>
        <sz val="10"/>
        <color indexed="8"/>
        <rFont val="細明體"/>
        <family val="3"/>
        <charset val="136"/>
      </rPr>
      <t>洽談中</t>
    </r>
    <phoneticPr fontId="16" type="noConversion"/>
  </si>
  <si>
    <t>2026/02/03</t>
  </si>
  <si>
    <t>Green Industrial System Co.</t>
  </si>
  <si>
    <t>MM60F120B</t>
  </si>
  <si>
    <t>MMD100E160X</t>
  </si>
  <si>
    <t>620260054</t>
  </si>
  <si>
    <t>GH Electrotermia S.A.</t>
  </si>
  <si>
    <t>MMD200F160X</t>
  </si>
  <si>
    <t>款項等修改電文</t>
    <phoneticPr fontId="16" type="noConversion"/>
  </si>
  <si>
    <t>EIT網站用規格書統整</t>
    <phoneticPr fontId="1" type="noConversion"/>
  </si>
  <si>
    <t>未收尾款</t>
    <phoneticPr fontId="1" type="noConversion"/>
  </si>
  <si>
    <t>3/2~3/6</t>
  </si>
  <si>
    <t>3/9~3/13</t>
  </si>
  <si>
    <t>3/16~3/20</t>
  </si>
  <si>
    <t>3/23~3/27</t>
  </si>
  <si>
    <t>April</t>
    <phoneticPr fontId="8" type="noConversion"/>
  </si>
  <si>
    <t>公告第一版供查閱</t>
    <phoneticPr fontId="8" type="noConversion"/>
  </si>
  <si>
    <t>列出所有客戶使用舊料號的</t>
  </si>
  <si>
    <t>列出所有客戶使用舊料號的表</t>
  </si>
  <si>
    <t>擬定PCN文件</t>
  </si>
  <si>
    <t>發出更改型號通知</t>
    <phoneticPr fontId="8" type="noConversion"/>
  </si>
  <si>
    <t>與Paul開會收集想法</t>
    <phoneticPr fontId="8" type="noConversion"/>
  </si>
  <si>
    <t>與Darren討論利弊，下週提完整規劃</t>
  </si>
  <si>
    <t>提正式計畫</t>
  </si>
  <si>
    <t>試行1季</t>
  </si>
  <si>
    <t>預計本周完成</t>
    <phoneticPr fontId="8" type="noConversion"/>
  </si>
  <si>
    <t>整理給Anil的教材，並拋功課讓他準備</t>
    <phoneticPr fontId="8" type="noConversion"/>
  </si>
  <si>
    <t>Training</t>
    <phoneticPr fontId="8" type="noConversion"/>
  </si>
  <si>
    <t>已完成初步Training</t>
    <phoneticPr fontId="8" type="noConversion"/>
  </si>
  <si>
    <t>列出規格書清單，先收集固馳的規格書</t>
    <phoneticPr fontId="8" type="noConversion"/>
  </si>
  <si>
    <t>完成預想規格書收集</t>
    <phoneticPr fontId="8" type="noConversion"/>
  </si>
  <si>
    <t>未收尾款(要收USD44)</t>
    <phoneticPr fontId="1" type="noConversion"/>
  </si>
  <si>
    <t>3/9發貨</t>
    <phoneticPr fontId="16" type="noConversion"/>
  </si>
  <si>
    <t>利愛</t>
    <phoneticPr fontId="1" type="noConversion"/>
  </si>
  <si>
    <t>弘田</t>
    <phoneticPr fontId="1" type="noConversion"/>
  </si>
  <si>
    <t>杰力士</t>
    <phoneticPr fontId="1" type="noConversion"/>
  </si>
  <si>
    <t>採購盧小姐</t>
    <phoneticPr fontId="1" type="noConversion"/>
  </si>
  <si>
    <t>目前都從自己大陸公司拿模組，訂單量少，SCR、Triac Discrete都還是用尼爾，我們的最近才會找機會試。</t>
    <phoneticPr fontId="1" type="noConversion"/>
  </si>
  <si>
    <t>友正</t>
    <phoneticPr fontId="1" type="noConversion"/>
  </si>
  <si>
    <t>採購歐小姐</t>
    <phoneticPr fontId="1" type="noConversion"/>
  </si>
  <si>
    <t>生意影響大，SC近期EK110用比較多，目前尚有一些MMK60剩下的庫存，預計10月左右才有可能下EK60的訂單。</t>
    <phoneticPr fontId="1" type="noConversion"/>
  </si>
  <si>
    <t>榮城</t>
    <phoneticPr fontId="1" type="noConversion"/>
  </si>
  <si>
    <t>RD 鄭舜文</t>
    <phoneticPr fontId="1" type="noConversion"/>
  </si>
  <si>
    <t>關係維護，近期除了台電小台的充電機案之外沒什麼其他案子，SCR跟Diode只能再找時間跟李朝煌聯絡。</t>
    <phoneticPr fontId="1" type="noConversion"/>
  </si>
  <si>
    <t>仰翼</t>
    <phoneticPr fontId="1" type="noConversion"/>
  </si>
  <si>
    <t>採購 鍾小姐</t>
    <phoneticPr fontId="1" type="noConversion"/>
  </si>
  <si>
    <t>討論DCR720E18訂單，9月初一次下200pcs + 150pcs夾具。</t>
    <phoneticPr fontId="1" type="noConversion"/>
  </si>
  <si>
    <t>豪優</t>
    <phoneticPr fontId="1" type="noConversion"/>
  </si>
  <si>
    <t>張銘郎R</t>
    <phoneticPr fontId="1" type="noConversion"/>
  </si>
  <si>
    <t>生意狀況差，過去買的MMG100S120B6UC、MM15FU120K目前都還有庫存，現在沒有其他研發RD，沒有其他新東西可以討論。</t>
    <phoneticPr fontId="1" type="noConversion"/>
  </si>
  <si>
    <t>今成</t>
    <phoneticPr fontId="1" type="noConversion"/>
  </si>
  <si>
    <t>陳仕恩'R</t>
    <phoneticPr fontId="1" type="noConversion"/>
  </si>
  <si>
    <t>目前台灣國內與越南訂單大幅銳減，國內訂單用650V IGBT 願意測試，提供150A / 400A 650V IGBT規格，但1200V出越南的目前訂單少且不明確，也沒什麼測試機會，還不願意動。</t>
    <phoneticPr fontId="1" type="noConversion"/>
  </si>
  <si>
    <t>九德</t>
    <phoneticPr fontId="1" type="noConversion"/>
  </si>
  <si>
    <t>採購 鍾小姐、郭課長</t>
    <phoneticPr fontId="1" type="noConversion"/>
  </si>
  <si>
    <t>拿貨同時關係維護，目前IGBT部分有4、5個選擇目前沒有打算再測試，整流橋預計9月才會再下單，目前還有庫存。</t>
    <phoneticPr fontId="1" type="noConversion"/>
  </si>
  <si>
    <t>RD 張正堂經理</t>
    <phoneticPr fontId="1" type="noConversion"/>
  </si>
  <si>
    <t>依獅門建議將漏電流值從0.3mA拉高到0.6、0.7mA測試時耐壓有達到650V，但依利愛過去IXYS經驗，若將漏電流值拉高測試通過的產品，只要兩年左右全部都會故障，所以不打算使用，預計本周與獅門羅工討論。</t>
    <phoneticPr fontId="1" type="noConversion"/>
  </si>
  <si>
    <t>天宇</t>
    <phoneticPr fontId="1" type="noConversion"/>
  </si>
  <si>
    <t>RD Rax</t>
    <phoneticPr fontId="1" type="noConversion"/>
  </si>
  <si>
    <t>電池模組輸出端Busbar設計討論，預計周三左右會提供圖面以利報價。</t>
    <phoneticPr fontId="1" type="noConversion"/>
  </si>
  <si>
    <t>承德</t>
    <phoneticPr fontId="1" type="noConversion"/>
  </si>
  <si>
    <t>營運經理 胡嘉翔</t>
    <phoneticPr fontId="1" type="noConversion"/>
  </si>
  <si>
    <t>致電營運經理約訪，暫約周四，週一再確認。</t>
    <phoneticPr fontId="1" type="noConversion"/>
  </si>
  <si>
    <t>福峰</t>
    <phoneticPr fontId="1" type="noConversion"/>
  </si>
  <si>
    <t>RD 林志吉</t>
    <phoneticPr fontId="1" type="noConversion"/>
  </si>
  <si>
    <t>追蹤AX350 二次側狀況，目前福峰較傾向一次側、二次側共用同一顆IGBT，請我們協助提供方案，目前競爭中其他家還沒有得知相關需求，本周與MacMic FAE Jason連絡討論。</t>
    <phoneticPr fontId="1" type="noConversion"/>
  </si>
  <si>
    <t>宣榮</t>
    <phoneticPr fontId="1" type="noConversion"/>
  </si>
  <si>
    <t>採購 吳小姐</t>
    <phoneticPr fontId="1" type="noConversion"/>
  </si>
  <si>
    <t>目前採購對於宣榮的狀況幾乎一無所知，關係建立外，以送貨為由請採購協助邀約副總，重新與副總建立關係。</t>
    <phoneticPr fontId="1" type="noConversion"/>
  </si>
  <si>
    <t>明浩</t>
    <phoneticPr fontId="1" type="noConversion"/>
  </si>
  <si>
    <t>何先生</t>
    <phoneticPr fontId="1" type="noConversion"/>
  </si>
  <si>
    <t>目前Semikron成本及交期稍高，推薦EIT SCR，認為可以碰面討論看看，但目前在做龍潭軍方的案子，暫約周五，時間需週二再次確認。</t>
    <phoneticPr fontId="1" type="noConversion"/>
  </si>
  <si>
    <t>黎副總</t>
    <phoneticPr fontId="1" type="noConversion"/>
  </si>
  <si>
    <t>目前AX350 還是打算走一次側MOS、二次側IGBT的方案
是因為現在日本的Driver還沒來，先用手邊現有的IGBT做實驗看看而已，沒有打算改都用IGBT。
SMR的部分FRED在PFC段試過可以用，但是MOS現在跟安川一次側一樣在等日本的Driver來才有辦法試。
輔電-SMR : 原用台廠800V，現改650V的MOS，覺得沒什麼必要換，價格也便宜。
輔電-安川 : 有考慮用我們的15A / 1000V MOS做輔電，但現在也是一樣是等Driver的狀況。</t>
    <phoneticPr fontId="1" type="noConversion"/>
  </si>
  <si>
    <t>鎧泰</t>
    <phoneticPr fontId="1" type="noConversion"/>
  </si>
  <si>
    <t>Cena</t>
    <phoneticPr fontId="1" type="noConversion"/>
  </si>
  <si>
    <t>目前生產人手不足，SiC用Infineon用好好的，暫時沒有打算有其他的元件測試，DC/DC Converter都用明偉的，覺得CP值高，輔電一般都是DC/DC跟高壓MOS/IC各一顆。</t>
    <phoneticPr fontId="1" type="noConversion"/>
  </si>
  <si>
    <t>固緯</t>
    <phoneticPr fontId="1" type="noConversion"/>
  </si>
  <si>
    <t>徐經理</t>
    <phoneticPr fontId="1" type="noConversion"/>
  </si>
  <si>
    <t>MS12N100FC測試數據討論，針對高壓段SOA曲線仍需與Maspower溝通，碰面討論測試數據方案及相關疑慮討論。</t>
    <phoneticPr fontId="1" type="noConversion"/>
  </si>
  <si>
    <t>約訪，周五1030</t>
    <phoneticPr fontId="1" type="noConversion"/>
  </si>
  <si>
    <t>胡嘉翔</t>
    <phoneticPr fontId="1" type="noConversion"/>
  </si>
  <si>
    <t>約訪，周三再確認一次</t>
    <phoneticPr fontId="1" type="noConversion"/>
  </si>
  <si>
    <t>明曜</t>
    <phoneticPr fontId="1" type="noConversion"/>
  </si>
  <si>
    <t>RD Will</t>
    <phoneticPr fontId="1" type="noConversion"/>
  </si>
  <si>
    <t>預計討論儲能櫃Relay、MOS、DC/DC --&gt; 未接*2</t>
    <phoneticPr fontId="1" type="noConversion"/>
  </si>
  <si>
    <t>鎰福</t>
    <phoneticPr fontId="1" type="noConversion"/>
  </si>
  <si>
    <t>江俊彬</t>
    <phoneticPr fontId="1" type="noConversion"/>
  </si>
  <si>
    <t>追蹤MMD240S160B、EG400T0F-120B --&gt; 未接*2</t>
    <phoneticPr fontId="1" type="noConversion"/>
  </si>
  <si>
    <t>RD 劉適豪</t>
    <phoneticPr fontId="1" type="noConversion"/>
  </si>
  <si>
    <t>追蹤MM40G3U65B --&gt;未接</t>
    <phoneticPr fontId="1" type="noConversion"/>
  </si>
  <si>
    <t>新代</t>
    <phoneticPr fontId="1" type="noConversion"/>
  </si>
  <si>
    <t>RD Alex</t>
    <phoneticPr fontId="1" type="noConversion"/>
  </si>
  <si>
    <t>討論其他元件導入 --&gt; 未接*2</t>
    <phoneticPr fontId="1" type="noConversion"/>
  </si>
  <si>
    <t>李景翰</t>
    <phoneticPr fontId="1" type="noConversion"/>
  </si>
  <si>
    <t>目前DC/DC都會用到，目前是明緯，都是以前的RD設計沿用下來目前沒有更新過，因為有些客戶會想要一些認證，推薦RECOM產品，傳郵件介紹。</t>
    <phoneticPr fontId="1" type="noConversion"/>
  </si>
  <si>
    <t>徐偉豪</t>
    <phoneticPr fontId="1" type="noConversion"/>
  </si>
  <si>
    <t>目前針對12N100 SOA及規格書有疑慮，Maspower本周會提供新規格書，規格書定案後下周碰面討論測試樣品訂單。</t>
    <phoneticPr fontId="1" type="noConversion"/>
  </si>
  <si>
    <t>瑞鴻</t>
    <phoneticPr fontId="1" type="noConversion"/>
  </si>
  <si>
    <t>程健志</t>
    <phoneticPr fontId="1" type="noConversion"/>
  </si>
  <si>
    <t>目前生意狀況極差，什麼時候收起來也不知道，跟我們拿的MMK160S160B都還沒用到，關係維護。</t>
    <phoneticPr fontId="1" type="noConversion"/>
  </si>
  <si>
    <t>李培業</t>
    <phoneticPr fontId="1" type="noConversion"/>
  </si>
  <si>
    <t>推薦DC/DC Converter，目前用比較多AC/DC 用明緯的，郵件介紹RECOM產品，約下周碰面。</t>
    <phoneticPr fontId="1" type="noConversion"/>
  </si>
  <si>
    <t>吳函哲</t>
    <phoneticPr fontId="1" type="noConversion"/>
  </si>
  <si>
    <t>推薦DC/DC Converter，目前用明緯，郵件介紹RECOM產品，約下周三上午碰面討論。</t>
    <phoneticPr fontId="1" type="noConversion"/>
  </si>
  <si>
    <t>Rax</t>
    <phoneticPr fontId="1" type="noConversion"/>
  </si>
  <si>
    <t>目前機櫃產品公司副總審核中，審核過後會提供圖面(預計本周)後進行報價討論。</t>
    <phoneticPr fontId="1" type="noConversion"/>
  </si>
  <si>
    <t>伸昌</t>
    <phoneticPr fontId="1" type="noConversion"/>
  </si>
  <si>
    <t>林真沅</t>
  </si>
  <si>
    <t>目前輔電是跟鎧泰買設計好的，Busbar成本太高，用一般銅排搭接，目前都忙出貨沒什麼其他需求。</t>
    <phoneticPr fontId="1" type="noConversion"/>
  </si>
  <si>
    <t>浩瀚</t>
    <phoneticPr fontId="1" type="noConversion"/>
  </si>
  <si>
    <t>Peter</t>
    <phoneticPr fontId="1" type="noConversion"/>
  </si>
  <si>
    <t>目前做電動巴士的馬達、驅動也有自己做，Busbar說沒有印象有談過，重新發郵件介紹約下周碰面。</t>
    <phoneticPr fontId="1" type="noConversion"/>
  </si>
  <si>
    <t>台達</t>
    <phoneticPr fontId="1" type="noConversion"/>
  </si>
  <si>
    <t>Irene</t>
    <phoneticPr fontId="1" type="noConversion"/>
  </si>
  <si>
    <t>預計討論PEM --&gt;未接，發郵件</t>
    <phoneticPr fontId="1" type="noConversion"/>
  </si>
  <si>
    <t>賴老闆</t>
    <phoneticPr fontId="1" type="noConversion"/>
  </si>
  <si>
    <t>鐵粉芯價格只買NTD$70，無法配合，整流橋請我報價，MMD50L160X、MMD100EB160X，現用Nell</t>
    <phoneticPr fontId="1" type="noConversion"/>
  </si>
  <si>
    <t>鑫城</t>
    <phoneticPr fontId="1" type="noConversion"/>
  </si>
  <si>
    <t>鄭自耀</t>
    <phoneticPr fontId="1" type="noConversion"/>
  </si>
  <si>
    <t>目前只說MMD110A160B、MMD200S160B還在確認數量，其他東西都不願多談只說之前你們同事都知道，有確定再跟你說。</t>
    <phoneticPr fontId="1" type="noConversion"/>
  </si>
  <si>
    <t>大憲</t>
    <phoneticPr fontId="1" type="noConversion"/>
  </si>
  <si>
    <t>RD蕭先生</t>
    <phoneticPr fontId="1" type="noConversion"/>
  </si>
  <si>
    <t>推薦DC/DC，目前ACDC用Murata、DCDC用明緯，針對SiC Module推薦62mm   400A/1200V ESM400W6L-120H，VGS使用20V  請我先傳規格給他看一下，但目前SiC 用200A的模組較多，IGBT說會自己去官網看一下，再約時間碰面認識了解一下。</t>
    <phoneticPr fontId="1" type="noConversion"/>
  </si>
  <si>
    <t>東達</t>
    <phoneticPr fontId="1" type="noConversion"/>
  </si>
  <si>
    <t>劉翔之</t>
    <phoneticPr fontId="1" type="noConversion"/>
  </si>
  <si>
    <t>國外出差下周才會回來</t>
    <phoneticPr fontId="1" type="noConversion"/>
  </si>
  <si>
    <t>集研</t>
    <phoneticPr fontId="1" type="noConversion"/>
  </si>
  <si>
    <t>Zron</t>
    <phoneticPr fontId="1" type="noConversion"/>
  </si>
  <si>
    <t>約下周碰面交流，想問看看醫療相關領域的一些推薦方式</t>
    <phoneticPr fontId="1" type="noConversion"/>
  </si>
  <si>
    <t>勤發</t>
    <phoneticPr fontId="1" type="noConversion"/>
  </si>
  <si>
    <t>翁課長</t>
    <phoneticPr fontId="1" type="noConversion"/>
  </si>
  <si>
    <t>預計討論 --&gt;IGBT FRED Discrete、輔電MOS  --&gt;未接</t>
    <phoneticPr fontId="1" type="noConversion"/>
  </si>
  <si>
    <t>廣錠</t>
    <phoneticPr fontId="1" type="noConversion"/>
  </si>
  <si>
    <t>採購 吳沛綺</t>
    <phoneticPr fontId="1" type="noConversion"/>
  </si>
  <si>
    <t>目前主要生意都在做博弈機台，推薦儲能Relay，先郵件介紹，暫約下周三碰面。</t>
    <phoneticPr fontId="1" type="noConversion"/>
  </si>
  <si>
    <t>野力</t>
    <phoneticPr fontId="1" type="noConversion"/>
  </si>
  <si>
    <t>陳柏菁</t>
    <phoneticPr fontId="1" type="noConversion"/>
  </si>
  <si>
    <t>日本客戶都跑去買安川，生意狀況影響大，目前比較有再用的只有三菱的IPM，獅門也有去連絡他，但現在生意太差完全不敢換任何料。</t>
    <phoneticPr fontId="1" type="noConversion"/>
  </si>
  <si>
    <t>凱建</t>
    <phoneticPr fontId="1" type="noConversion"/>
  </si>
  <si>
    <t>採購</t>
    <phoneticPr fontId="1" type="noConversion"/>
  </si>
  <si>
    <t>陳老闆今年過世，其他不願多說，只說有需要會再聯絡就直接掛電話了。</t>
    <phoneticPr fontId="1" type="noConversion"/>
  </si>
  <si>
    <t>呂課長</t>
    <phoneticPr fontId="1" type="noConversion"/>
  </si>
  <si>
    <t>MMK35LB160HB需求，實際工作電壓460V，用1200V餘度還可以，本週提供報價。</t>
    <phoneticPr fontId="1" type="noConversion"/>
  </si>
  <si>
    <t>鎮宏</t>
    <phoneticPr fontId="1" type="noConversion"/>
  </si>
  <si>
    <t>謝老闆</t>
    <phoneticPr fontId="1" type="noConversion"/>
  </si>
  <si>
    <t>EK250W34L-080DA  在實際裝機時有一顆有漏電狀況，換一顆就正常，後來回廠內測試用三用電表量，GK跟AK的阻值比其他的低，但還是可以使用，沒有擊穿，目前用12pcs其他都正常，跟瑞華討論中。</t>
    <phoneticPr fontId="1" type="noConversion"/>
  </si>
  <si>
    <t>目前用SKKT 162較多，SKKT323少量，推薦EK200、EK330，跟老闆討論中，會提供目前常用的產品給我請我報價，價格OK再討論測試的樣品訂單。</t>
    <phoneticPr fontId="1" type="noConversion"/>
  </si>
  <si>
    <t>黎副總、採購Uma</t>
    <phoneticPr fontId="1" type="noConversion"/>
  </si>
  <si>
    <t>SMR FRED目前測試後可用，但黎副總只負責提供測試數據並跟老闆說明我們的FRED可以用，價格相較Vishay明顯有競爭力，同時也先將資訊拋給採購，讓他們在會議上提出MM60F060B要上BOM表的需求。
2.與採購重新細對GIS800交貨時間，目前交期剛好不會造成福峰斷料的問題。</t>
    <phoneticPr fontId="1" type="noConversion"/>
  </si>
  <si>
    <t>胡經理、RD吳涵哲</t>
    <phoneticPr fontId="1" type="noConversion"/>
  </si>
  <si>
    <t>目前日本、大陸生意占約75%，國內生意較少，有出給天宇、有量、能元、新普等出電池的公司，生意狀況較難預測，還是倚靠國外訂單為主，目前預計Q4會有50A跟100A Relay的樣品訂單，但目前日本客戶還不是很明確，可能要9月底會比較清晰。</t>
    <phoneticPr fontId="1" type="noConversion"/>
  </si>
  <si>
    <t>整流橋報價，MMD50L160X、MMD100EB160X有用過，預計9月底會下20pcs小批量測試，目前替代Nell MTP3008 整流橋尚未提供方案及報價。</t>
    <phoneticPr fontId="1" type="noConversion"/>
  </si>
  <si>
    <t>正頻</t>
    <phoneticPr fontId="1" type="noConversion"/>
  </si>
  <si>
    <t>RD 廖經理</t>
    <phoneticPr fontId="1" type="noConversion"/>
  </si>
  <si>
    <t>目前IGBT MMG40H120XB6TC案子沒有拿到，目前MOS測試中，如果OK會再下500pcs左右做小批量測試，針對IGBT還是要找老闆討論比較有機會，若出差時再請廖經理幫忙約老闆一起討論。</t>
    <phoneticPr fontId="1" type="noConversion"/>
  </si>
  <si>
    <t>上鍵</t>
    <phoneticPr fontId="1" type="noConversion"/>
  </si>
  <si>
    <t>RD 林煙輝</t>
    <phoneticPr fontId="1" type="noConversion"/>
  </si>
  <si>
    <t>介紹RECOM，目前用明緯，現在共陰共陽的FRED沒有再用了，具體選料及設計更動不願多說，約9/2碰面重新討論與RECOM產品介紹。</t>
    <phoneticPr fontId="1" type="noConversion"/>
  </si>
  <si>
    <t>RD 張正堂</t>
    <phoneticPr fontId="1" type="noConversion"/>
  </si>
  <si>
    <t>目前StarPower GD100PIX65C6S (100A / 650V) ，用0.3mA漏電流測試耐壓都在680~700V左右，並非羅工說的650V新版本芯片較薄漏電流設定需要較高，需再與羅工對話討論可能的原因。</t>
    <phoneticPr fontId="1" type="noConversion"/>
  </si>
  <si>
    <t>Bill</t>
    <phoneticPr fontId="1" type="noConversion"/>
  </si>
  <si>
    <t>金居產品價格協調與報價。</t>
    <phoneticPr fontId="1" type="noConversion"/>
  </si>
  <si>
    <t>工廠採購彭S</t>
    <phoneticPr fontId="1" type="noConversion"/>
  </si>
  <si>
    <t>提供較高價產品報價、建議找集研，提供EIT相關介紹，再請採購協助提供RD聯絡方式開發看看。</t>
    <phoneticPr fontId="1" type="noConversion"/>
  </si>
  <si>
    <t>立肯</t>
    <phoneticPr fontId="1" type="noConversion"/>
  </si>
  <si>
    <t>採購 Mandy</t>
    <phoneticPr fontId="1" type="noConversion"/>
  </si>
  <si>
    <t>Delta中壢廠測試IGBT、SiC PEM CWT Mini50HF產品需求討論與報價。</t>
    <phoneticPr fontId="1" type="noConversion"/>
  </si>
  <si>
    <t>晃誼</t>
    <phoneticPr fontId="1" type="noConversion"/>
  </si>
  <si>
    <t>RD 嚴R</t>
    <phoneticPr fontId="1" type="noConversion"/>
  </si>
  <si>
    <t>目前DC Bank沒有用Power Relay、沒有DCDC Converter，目前FRED 、IGBT SOT-227都還有庫存，MM60F120B也還有庫存，針對過去的銅條想再討論看看，約8/27上午時間碰面。</t>
    <phoneticPr fontId="1" type="noConversion"/>
  </si>
  <si>
    <t>採購 Rainy</t>
    <phoneticPr fontId="1" type="noConversion"/>
  </si>
  <si>
    <t>上週聯絡介紹EIT，有意願碰面討論，約9/4碰面。</t>
    <phoneticPr fontId="1" type="noConversion"/>
  </si>
  <si>
    <t>RD 徐經理、採購 Kiki、品保 廖R</t>
    <phoneticPr fontId="1" type="noConversion"/>
  </si>
  <si>
    <t>36360E 60KW 失效討論。</t>
    <phoneticPr fontId="1" type="noConversion"/>
  </si>
  <si>
    <t>林副總</t>
    <phoneticPr fontId="1" type="noConversion"/>
  </si>
  <si>
    <t>明天送樣品過去聊一下，也一起介紹RECOM</t>
    <phoneticPr fontId="1" type="noConversion"/>
  </si>
  <si>
    <t>RD 江俊彬</t>
    <phoneticPr fontId="1" type="noConversion"/>
  </si>
  <si>
    <t>未接*2</t>
    <phoneticPr fontId="1" type="noConversion"/>
  </si>
  <si>
    <t>林副總、吳小姐</t>
    <phoneticPr fontId="1" type="noConversion"/>
  </si>
  <si>
    <t>Triac 用量很少，一年才幾百顆懶得動，EK110、160年用量2 、300pcs，樣品過去如果測試ok預計10月會在各下50pcs左右小批量測試，要到明年接近Q2比較有可能列入量產。</t>
    <phoneticPr fontId="1" type="noConversion"/>
  </si>
  <si>
    <t>徐經理、廖英廷</t>
    <phoneticPr fontId="1" type="noConversion"/>
  </si>
  <si>
    <t>目前博計機種36360E 60KW電子負載測Delta UPS有起火失效狀況，目前先將失效MOS送回Maspower分析，固緯打算要在板子上加Fuse保護，約下周三碰面討論Fuse及中央MOS的樣品確認。</t>
    <phoneticPr fontId="1" type="noConversion"/>
  </si>
  <si>
    <t>目前生意也不穩定，希望找我們討論PEM的唯一販售權，可以備貨，但目前對Delta的生意狀況跟國內的生意狀況也很難明確，給不出數量。</t>
    <phoneticPr fontId="1" type="noConversion"/>
  </si>
  <si>
    <t>機構RD Peter</t>
    <phoneticPr fontId="1" type="noConversion"/>
  </si>
  <si>
    <t>目前做160kw-250kw 電動巴士驅動研發，今天件機構RD Peter，有在做小銅條，無絕緣，不提供圖面只詢問是否能提供免費樣品支持，目前沒有量產、也沒有預計的量及預計量產的時間，無任何效益，再連絡電控RD黃R討論IGBT 目前用Infineon系列，再推GV系列產品。</t>
    <phoneticPr fontId="1" type="noConversion"/>
  </si>
  <si>
    <t>盛景</t>
    <phoneticPr fontId="1" type="noConversion"/>
  </si>
  <si>
    <t>MM40G3U120BX訂單討論，備庫存及維修用，確認一下需求數量再下訂單。</t>
    <phoneticPr fontId="1" type="noConversion"/>
  </si>
  <si>
    <t>鉅邦醫材</t>
    <phoneticPr fontId="1" type="noConversion"/>
  </si>
  <si>
    <t>總機不願協助轉接，掛電話。</t>
    <phoneticPr fontId="1" type="noConversion"/>
  </si>
  <si>
    <t>國橋電機</t>
    <phoneticPr fontId="1" type="noConversion"/>
  </si>
  <si>
    <t>陳副總</t>
    <phoneticPr fontId="1" type="noConversion"/>
  </si>
  <si>
    <t>介紹DCDC Converter,請我提供Dynex 盤式SCR、RECOM的產品介紹mail給他,九月份會比較有空再約時間碰面介紹。</t>
    <phoneticPr fontId="1" type="noConversion"/>
  </si>
  <si>
    <t>鼎眾</t>
    <phoneticPr fontId="1" type="noConversion"/>
  </si>
  <si>
    <t>介紹DCDC Converter,目前RD都下班了，總機請我改天早上再打來。</t>
    <phoneticPr fontId="1" type="noConversion"/>
  </si>
  <si>
    <t>新駿實業</t>
    <phoneticPr fontId="1" type="noConversion"/>
  </si>
  <si>
    <t>研發部</t>
    <phoneticPr fontId="1" type="noConversion"/>
  </si>
  <si>
    <t>總機轉研發，目前只有研發在台灣而已，因跟雃博合併近期要搬廠去土城，最快可能要10月比較有機會拜訪，後續在聯絡其他研發人員。
#686</t>
    <phoneticPr fontId="1" type="noConversion"/>
  </si>
  <si>
    <t>康揚輔具</t>
    <phoneticPr fontId="1" type="noConversion"/>
  </si>
  <si>
    <t>陳協理</t>
    <phoneticPr fontId="1" type="noConversion"/>
  </si>
  <si>
    <t>轉研發陳協理，目前有客戶，約周一下午在致電討論Recom、電動輔具Relay。</t>
    <phoneticPr fontId="1" type="noConversion"/>
  </si>
  <si>
    <t>ALEX</t>
    <phoneticPr fontId="1" type="noConversion"/>
  </si>
  <si>
    <t>今天請假</t>
    <phoneticPr fontId="1" type="noConversion"/>
  </si>
  <si>
    <t>可羅氏</t>
    <phoneticPr fontId="1" type="noConversion"/>
  </si>
  <si>
    <t>張峻偉'R</t>
    <phoneticPr fontId="1" type="noConversion"/>
  </si>
  <si>
    <t>MMK200轉EK200，目前才剛出去客戶端測試，會在需要醫些時間驗證，預計觀察到26年Q1。
EK110已經出去一年多，目前狀況都還OK，11月會再下50pcs左右小批量。</t>
    <phoneticPr fontId="1" type="noConversion"/>
  </si>
  <si>
    <t>傑羅司邦</t>
    <phoneticPr fontId="1" type="noConversion"/>
  </si>
  <si>
    <t>採購楊'S</t>
    <phoneticPr fontId="1" type="noConversion"/>
  </si>
  <si>
    <t>9月W2碰面跟採購及廠長一起討論26年年單，會連EK600跟EK200一起談。
Discrete的部分25A、55A用量不穩定，不會一起排年單，會等有需要才另外下。</t>
    <phoneticPr fontId="1" type="noConversion"/>
  </si>
  <si>
    <t>台翔</t>
    <phoneticPr fontId="1" type="noConversion"/>
  </si>
  <si>
    <t>追蹤目前長下產品狀況，MMK60目前庫存多，今年還不會下單，MMK90改EK110目前林經理仍在確認中，MMD110A會跟公司確認需求後有需求時一併下單。</t>
    <phoneticPr fontId="1" type="noConversion"/>
  </si>
  <si>
    <t>MMG200D120B6HN剩12pcs都賣他。
目前生意狀況很差，24年底拿MMD250F160X*40也還再用，問MMG300D120B6UC說要再確認一下，持續追蹤。</t>
    <phoneticPr fontId="1" type="noConversion"/>
  </si>
  <si>
    <t>FRED確認一下會再排後續的單，目前IGBT在14kw 90A/140V切割機短時間gate就會燒掉，約9月W2南下時碰面討論IGBT同時也討論後續的訂單。</t>
    <phoneticPr fontId="1" type="noConversion"/>
  </si>
  <si>
    <t>採購何'S、研三謝'S</t>
    <phoneticPr fontId="1" type="noConversion"/>
  </si>
  <si>
    <t>目前100A三相SCR，MMK100U跟SanRex都用很少，各用10pcs左右，預計還能再用個3年，目前研三是用KBPC5010(50A/1000V)橋整*1+MMG100S120B6UC*2。
DCDC目前是用明緯的，會提供目前用的料號，預計9月南下討論DCDC方案，先寄送RECOM介紹的Mail給RD跟助理。</t>
    <phoneticPr fontId="1" type="noConversion"/>
  </si>
  <si>
    <t>沒接</t>
    <phoneticPr fontId="1" type="noConversion"/>
  </si>
  <si>
    <t>旭隼</t>
    <phoneticPr fontId="1" type="noConversion"/>
  </si>
  <si>
    <t>Evan葉'R</t>
    <phoneticPr fontId="1" type="noConversion"/>
  </si>
  <si>
    <t>Joey花'R</t>
    <phoneticPr fontId="1" type="noConversion"/>
  </si>
  <si>
    <t>嚴士翔</t>
    <phoneticPr fontId="1" type="noConversion"/>
  </si>
  <si>
    <t>希望再討論看看銅條，主要還是價格問題，目前沒有目標價，碰面重新談看看。</t>
    <phoneticPr fontId="1" type="noConversion"/>
  </si>
  <si>
    <t>貝斯美德</t>
    <phoneticPr fontId="1" type="noConversion"/>
  </si>
  <si>
    <t>近期公司內部稽核中，請我9月初再聯絡。</t>
    <phoneticPr fontId="1" type="noConversion"/>
  </si>
  <si>
    <t>萊鎂醫療器材</t>
    <phoneticPr fontId="1" type="noConversion"/>
  </si>
  <si>
    <t>張俊謙 研發協理</t>
    <phoneticPr fontId="1" type="noConversion"/>
  </si>
  <si>
    <t>總機擋掉</t>
    <phoneticPr fontId="1" type="noConversion"/>
  </si>
  <si>
    <t>外出，晚點聯絡看看</t>
    <phoneticPr fontId="1" type="noConversion"/>
  </si>
  <si>
    <t>高昌生醫</t>
    <phoneticPr fontId="1" type="noConversion"/>
  </si>
  <si>
    <t>王建霖經理</t>
    <phoneticPr fontId="1" type="noConversion"/>
  </si>
  <si>
    <t>介紹功率元件、RECOM
目前也是用整流橋+SiC+FRED架構
輔電是另外再掛一個電源，不會從AC進來分接到板子上，約周五1100碰面
郵件先發介紹資訊(EIT及RECOM)</t>
    <phoneticPr fontId="1" type="noConversion"/>
  </si>
  <si>
    <t>目前電源模組的案子董事長審核中。</t>
    <phoneticPr fontId="1" type="noConversion"/>
  </si>
  <si>
    <t>宏浩</t>
    <phoneticPr fontId="1" type="noConversion"/>
  </si>
  <si>
    <t>業助廖S</t>
    <phoneticPr fontId="1" type="noConversion"/>
  </si>
  <si>
    <t>儀器測試代理商，推PEM，老闆不在，先發Mail介紹</t>
    <phoneticPr fontId="1" type="noConversion"/>
  </si>
  <si>
    <t>新科電力</t>
    <phoneticPr fontId="1" type="noConversion"/>
  </si>
  <si>
    <t>章R--&gt;總機</t>
    <phoneticPr fontId="1" type="noConversion"/>
  </si>
  <si>
    <t>做電池充放電設備，舊RD章R離職，目前負責RD這兩天會議很滿，總機請我下周再致電。</t>
    <phoneticPr fontId="1" type="noConversion"/>
  </si>
  <si>
    <t>花R，目前銅條都直接交由板金廠做，暫無相關需求，電子料相關RD現在都不熟，建議我找統購</t>
    <phoneticPr fontId="1" type="noConversion"/>
  </si>
  <si>
    <t>IRENE</t>
    <phoneticPr fontId="1" type="noConversion"/>
  </si>
  <si>
    <t>郭課長</t>
    <phoneticPr fontId="1" type="noConversion"/>
  </si>
  <si>
    <t>郭課請假。</t>
    <phoneticPr fontId="1" type="noConversion"/>
  </si>
  <si>
    <t>張正堂</t>
    <phoneticPr fontId="1" type="noConversion"/>
  </si>
  <si>
    <t>目前輔電用明緯，20多W的DCDC，目前要比較大馬力比較會用到，具體會用到DCDC的馬力數分界點未提供，介紹RECOM，約下周碰面介紹聊看看。</t>
    <phoneticPr fontId="1" type="noConversion"/>
  </si>
  <si>
    <t>林明志 直接變壓器出來沒有用到DCDC CONVERTER，目前大馬力5、60HP有少量在做，整流MMD110、130，MMG300、400A / 600V ，MMG200A / 1200V 都是用我們的生產，只是因為量少目前還有一些庫存，可能Q4再看看，目前最近會下MMG75W120XB6TC*128，已重新報價，預計下周下單。</t>
    <phoneticPr fontId="1" type="noConversion"/>
  </si>
  <si>
    <t>利佳</t>
    <phoneticPr fontId="1" type="noConversion"/>
  </si>
  <si>
    <t>黃S</t>
    <phoneticPr fontId="1" type="noConversion"/>
  </si>
  <si>
    <t>變頻器沒有DCDC，只有很少數課至特規品才會有。
輔電用瑞薩2SK2225 (1500V)
目前停產，有last buy幾千顆慢慢用。
目前聯儲能櫃生意都很零星，之前日本代工生意沒有拿到後就沒有再主動找這種生意了。</t>
    <phoneticPr fontId="1" type="noConversion"/>
  </si>
  <si>
    <t>Monica</t>
    <phoneticPr fontId="1" type="noConversion"/>
  </si>
  <si>
    <t>找半導體統購童S，會議中。</t>
    <phoneticPr fontId="1" type="noConversion"/>
  </si>
  <si>
    <t>中悅</t>
    <phoneticPr fontId="1" type="noConversion"/>
  </si>
  <si>
    <t>林順義</t>
    <phoneticPr fontId="1" type="noConversion"/>
  </si>
  <si>
    <t>手機沒接，人外出不在公司。</t>
    <phoneticPr fontId="1" type="noConversion"/>
  </si>
  <si>
    <t>王經理</t>
    <phoneticPr fontId="1" type="noConversion"/>
  </si>
  <si>
    <t>目前產品主要分為呼吸機、超音波拉提設備
呼吸機 : ACDC 用台廠星博電子(open frame封裝)、集成IC，最大不超過300W，沒有用功率元件。
超音波拉提 : SiC目前研發中，用過Infineon20多mOhm 650V SiC但速度不夠，輸出電流電壓最高20A / 140V 頻率，目前再考慮GaN，所以現在只有做小台的機器用IC。
頻率最高20MHZ，推薦PEM，有興趣。
呼吸治療功率太小，ACDC有可能、但其他功率元件不太可能會用到，推薦振慶-做超音波腫瘤治療、聯興儀器-慈振復健設備
推薦應用:手術電刀、超音波切除、慈振復健儀器</t>
    <phoneticPr fontId="1" type="noConversion"/>
  </si>
  <si>
    <t>下單</t>
    <phoneticPr fontId="1" type="noConversion"/>
  </si>
  <si>
    <t>奇正</t>
    <phoneticPr fontId="1" type="noConversion"/>
  </si>
  <si>
    <t>劉小菁</t>
    <phoneticPr fontId="1" type="noConversion"/>
  </si>
  <si>
    <t>重新連絡與配合，目前主要都還是用Semikron IGBT及SCR
原用Semikron 200A IGBT模組為主，因200A停產直接調整至400A，會再重新詢價，先從常用料200A、300A IGBT模組與DIODE開始詢價再討論如何配合。
技術細節與元件規格選用都要找RD(老闆)才會比較清楚，但老闆會自己出去跑生意時間不是很好安排與聯繫。</t>
    <phoneticPr fontId="1" type="noConversion"/>
  </si>
  <si>
    <t>約訪時間確認</t>
    <phoneticPr fontId="1" type="noConversion"/>
  </si>
  <si>
    <t>約訪RD，出差，需另約時間</t>
    <phoneticPr fontId="1" type="noConversion"/>
  </si>
  <si>
    <t>安華</t>
    <phoneticPr fontId="1" type="noConversion"/>
  </si>
  <si>
    <t>林修平</t>
    <phoneticPr fontId="1" type="noConversion"/>
  </si>
  <si>
    <t>目前直流馬達驅動沒有DCDC，盤式SCR再另找時間碰面討論。</t>
    <phoneticPr fontId="1" type="noConversion"/>
  </si>
  <si>
    <t>廖經理</t>
    <phoneticPr fontId="1" type="noConversion"/>
  </si>
  <si>
    <t>約下周碰面談IGBT</t>
    <phoneticPr fontId="1" type="noConversion"/>
  </si>
  <si>
    <t>主要是買國外機台，盤式SCR用於維修，目前用ABB，約下周碰面討論DYNEX，本周會提供目前所使用型號。</t>
    <phoneticPr fontId="1" type="noConversion"/>
  </si>
  <si>
    <t>目前電動輔具會用到DCDC、不會有Relay，輸入16-38V，輸出24V，沒有品牌限制，約下周至總公司碰面介紹並討論方案。</t>
    <phoneticPr fontId="1" type="noConversion"/>
  </si>
  <si>
    <t>林煙輝</t>
    <phoneticPr fontId="1" type="noConversion"/>
  </si>
  <si>
    <t>目前400W 公播系統原用Infineon 25A / 650V IGBT Discrete，目前斷料，推薦MM40G3U65B，年用約3K，MM60G3U65B將MOQ拉高重新報價，共陰共陽二極體目前用SP的，年用量各3-4K左右，希望MM40G3U65B及共陰共陽二極體希望各8pcs樣品。</t>
    <phoneticPr fontId="1" type="noConversion"/>
  </si>
  <si>
    <t>林總</t>
    <phoneticPr fontId="1" type="noConversion"/>
  </si>
  <si>
    <t>現在晃誼的生意競爭狀況激烈，cost down壓力重，用cable的價格大約是銅牌報價的一半而已，且銅排品項繁雜，備料成本與交期考量，可能性低。
電磁開關主要都是Eaton跟施耐德、Fuse主要是SIBA，對路品成見較深，與價格無關，不會用。</t>
    <phoneticPr fontId="1" type="noConversion"/>
  </si>
  <si>
    <t>目前變頻器輔電DCDC會根據每個案子接的風扇等功率不同，所以每個專案會用的都不太一樣，會依不同案子再來詢，目前輔電用2SC3153 ( 6A / 800V )年用6-700pcs、2SK1317 ( 8A / 1500V )年用200pcs，再提供報價。</t>
    <phoneticPr fontId="1" type="noConversion"/>
  </si>
  <si>
    <t>金銲</t>
    <phoneticPr fontId="1" type="noConversion"/>
  </si>
  <si>
    <t>黃茂銓經理</t>
    <phoneticPr fontId="1" type="noConversion"/>
  </si>
  <si>
    <t>目前對於800A、1000A SCR模組認為自己做組件可能性高，且一樣有打算用在新品，目前與老闆討論中。</t>
    <phoneticPr fontId="1" type="noConversion"/>
  </si>
  <si>
    <t>在忙</t>
    <phoneticPr fontId="1" type="noConversion"/>
  </si>
  <si>
    <t>翊勝</t>
    <phoneticPr fontId="1" type="noConversion"/>
  </si>
  <si>
    <t>李啟銘</t>
    <phoneticPr fontId="1" type="noConversion"/>
  </si>
  <si>
    <t>劉華德</t>
    <phoneticPr fontId="1" type="noConversion"/>
  </si>
  <si>
    <t>約周五上午碰面討論安川案子後續Infineon採購事宜，周四再確認一下時間</t>
    <phoneticPr fontId="1" type="noConversion"/>
  </si>
  <si>
    <t>MMG75W120XB6TC目前年用量50-60pcs，約下周碰面討論全部IGBT。</t>
    <phoneticPr fontId="1" type="noConversion"/>
  </si>
  <si>
    <t>雅科(電動手術台)</t>
    <phoneticPr fontId="1" type="noConversion"/>
  </si>
  <si>
    <t>聯興</t>
    <phoneticPr fontId="1" type="noConversion"/>
  </si>
  <si>
    <t>王R</t>
    <phoneticPr fontId="1" type="noConversion"/>
  </si>
  <si>
    <t>目前AC/DC全部外購，目前主要是用在電療儀器，其他紅外線、超音波也打算逐漸換成power supply模組，目前買Delta MDS065APS12/24B  12V用於顯示器、CPU驅動電壓(一台1pc、24V用於輸出(一台2pcs)，目前跟Delta買的不是很舒服，也沒有2nd Source，約周五1400左右碰面介紹RECOM與討論。</t>
    <phoneticPr fontId="1" type="noConversion"/>
  </si>
  <si>
    <t>採購吳小姐</t>
    <phoneticPr fontId="1" type="noConversion"/>
  </si>
  <si>
    <t>RD不對外，目前只有做博弈機台，充電樁是廣錠能源，採購只是單純RD給需求去尋料而已，目前Relay比較有可能會詢，但採購對技術也不清不楚，RD也不對外，較難以配合</t>
    <phoneticPr fontId="1" type="noConversion"/>
  </si>
  <si>
    <t>RD王先生</t>
    <phoneticPr fontId="1" type="noConversion"/>
  </si>
  <si>
    <t>交付12N100樣品*40，目前家MOS測試都Fail，中壓預計單元鍵測試1-2周就會有結果，如果Pass後會測單板28pcs約2-3周，最後整機出去約3-6個月後即可承認為量產用料。</t>
    <phoneticPr fontId="1" type="noConversion"/>
  </si>
  <si>
    <t>目前EK系列出去快9個月，目前狀況都還OK，會安排再50pcs出去看看，但是下單時間與其他庫存要再看一下</t>
    <phoneticPr fontId="1" type="noConversion"/>
  </si>
  <si>
    <t>約週三碰面介紹DYNEX產品</t>
    <phoneticPr fontId="1" type="noConversion"/>
  </si>
  <si>
    <t>約週三碰面介紹討論RECOM產品</t>
    <phoneticPr fontId="1" type="noConversion"/>
  </si>
  <si>
    <t>約週四碰面討論IGBT與SCR訂單，目前工程較多，栓型SCR忙一個段落再討論，目前SCR模組250A沒有其他狀況。</t>
    <phoneticPr fontId="1" type="noConversion"/>
  </si>
  <si>
    <t>楊小姐</t>
    <phoneticPr fontId="1" type="noConversion"/>
  </si>
  <si>
    <t>約週四碰面討論年單</t>
    <phoneticPr fontId="1" type="noConversion"/>
  </si>
  <si>
    <t>約週四碰面討論二極體與IGBT訂單及新機使用時程</t>
    <phoneticPr fontId="1" type="noConversion"/>
  </si>
  <si>
    <t>李先生</t>
    <phoneticPr fontId="1" type="noConversion"/>
  </si>
  <si>
    <t>約周五碰面介紹RECOM與產品推薦</t>
    <phoneticPr fontId="1" type="noConversion"/>
  </si>
  <si>
    <t>林先生</t>
    <phoneticPr fontId="1" type="noConversion"/>
  </si>
  <si>
    <t>約周三碰面討論IGBT品項</t>
    <phoneticPr fontId="1" type="noConversion"/>
  </si>
  <si>
    <t>劉先生</t>
    <phoneticPr fontId="1" type="noConversion"/>
  </si>
  <si>
    <t>討論安川X350模組，預計會再走3年、另10年左右的售服，這兩週統整一下整體需求數量讓宏微去跟Infineon談芯片採購。</t>
    <phoneticPr fontId="1" type="noConversion"/>
  </si>
  <si>
    <t>王先生</t>
    <phoneticPr fontId="1" type="noConversion"/>
  </si>
  <si>
    <t>目前電療產品用Delta 的AC/DC 輸出12V*1+24V*2(正反接)，此機種有走安規目前不會動，年用量12V*200pcs、24V*400pcs。
目前牽引系統復健儀器要改版，目前在詢AC/DC，輸出5V*1+12V*1，找鎖機殼用的模組，用量各4-500pcs/年。
預計26年完成設計，提供規格後看RD的狀況在找採購、老闆一起討論。</t>
    <phoneticPr fontId="1" type="noConversion"/>
  </si>
  <si>
    <t>W37</t>
    <phoneticPr fontId="1" type="noConversion"/>
  </si>
  <si>
    <t>喬山</t>
    <phoneticPr fontId="1" type="noConversion"/>
  </si>
  <si>
    <t>RD方R</t>
    <phoneticPr fontId="1" type="noConversion"/>
  </si>
  <si>
    <t>亞星</t>
    <phoneticPr fontId="1" type="noConversion"/>
  </si>
  <si>
    <t>RD李R</t>
    <phoneticPr fontId="1" type="noConversion"/>
  </si>
  <si>
    <t>工易</t>
    <phoneticPr fontId="1" type="noConversion"/>
  </si>
  <si>
    <t>RD、採購</t>
    <phoneticPr fontId="1" type="noConversion"/>
  </si>
  <si>
    <t>採購鍾小姐</t>
    <phoneticPr fontId="1" type="noConversion"/>
  </si>
  <si>
    <t>目前正在準備出貨自動化機台，預計下周會開始重新點庫存，DCR720E18這個月確定會直接下200pcs、夾具會下150pcs，分次交貨的數量跟時間確認一下下周討論。DCR960目前庫存有8pcs，會在確認一下數量跟其他產品需求一起下。</t>
    <phoneticPr fontId="1" type="noConversion"/>
  </si>
  <si>
    <t>王課長</t>
    <phoneticPr fontId="1" type="noConversion"/>
  </si>
  <si>
    <t>目前牽引機需求AC/DC，輸入110-240V，輸出24V跟5V各一顆，提供RACM60-24SK/OF、RACM30-05SK/277/OF，認證沒問題，待RECOM報價後討論樣品及後續下單。</t>
    <phoneticPr fontId="1" type="noConversion"/>
  </si>
  <si>
    <t>士林電機</t>
    <phoneticPr fontId="1" type="noConversion"/>
  </si>
  <si>
    <t>潘韋達</t>
    <phoneticPr fontId="1" type="noConversion"/>
  </si>
  <si>
    <t>星崴</t>
    <phoneticPr fontId="1" type="noConversion"/>
  </si>
  <si>
    <t>採購巫小姐</t>
    <phoneticPr fontId="1" type="noConversion"/>
  </si>
  <si>
    <t>推薦RECOM DCDC，但由於沒有相關認證需求，價格競爭激烈，目前都是用明緯的，價格交期跟品質也沒什麼痛點，沒有打算更換。</t>
    <phoneticPr fontId="1" type="noConversion"/>
  </si>
  <si>
    <t>吉瀚</t>
    <phoneticPr fontId="1" type="noConversion"/>
  </si>
  <si>
    <t>湯老闆</t>
    <phoneticPr fontId="1" type="noConversion"/>
  </si>
  <si>
    <t>楊老闆</t>
    <phoneticPr fontId="1" type="noConversion"/>
  </si>
  <si>
    <t>Amanda</t>
    <phoneticPr fontId="1" type="noConversion"/>
  </si>
  <si>
    <t>目前IGBT Sourcing 的都定案了，推薦高壓MOS，目前有用很多個廠牌，聽到我們有座Chroma、固緯、匯川就有點興趣，請我提供1500V MOS的一些產品規格給他參考一下。</t>
    <phoneticPr fontId="1" type="noConversion"/>
  </si>
  <si>
    <t>林R</t>
    <phoneticPr fontId="1" type="noConversion"/>
  </si>
  <si>
    <t>目前手邊突然有客戶下急單，人手會先挪去生產，測試會稍微延後，預計月底前會開始測試</t>
    <phoneticPr fontId="1" type="noConversion"/>
  </si>
  <si>
    <t>梁R</t>
    <phoneticPr fontId="1" type="noConversion"/>
  </si>
  <si>
    <t>1.EG150D1GSF-065B替代FUGI，目前尚有庫存，預計2026年初會再下一批小批量出去試。
2.MMD150F160X目前仍有庫存，預計年底會再開始下。
3.目前舊版超音波研磨機由於MOS國外客戶有認證，FRED會提供規格，新版研磨機用IRFP50N06+FRED*4 (規格待提供)
MOS約3-500pcs/年、FRED各2K/年
4.600A IGBT建議可在模組內封Rg調整開關速度，若可行也願意再繼續買樣品試。</t>
    <phoneticPr fontId="1" type="noConversion"/>
  </si>
  <si>
    <t>1.目前BUSBAR大約下近2年的量，目前廠商用車規條件在做，說目前買4-5000/片，又說若我們做得出來也有意願繼續，但價格調整幅度不高，應該在交易條件或是價格上有明顯痛點，先請廠商報價再跟他討論。
2.大馬力IGBT跟整流橋目前多家共用，產量不多還有庫存，明年Q1左右才會再下。
3.10-15HP 用star 100A ，提供EG100K3-065XB*2樣品，預計年底前測完。
4.EG30W1-065XB會再下兩盒20pcs小批量，都在觀察個3-6個月，後續再找他重新討論全部IGBT的訂單。</t>
    <phoneticPr fontId="1" type="noConversion"/>
  </si>
  <si>
    <t>未能得到明確能夠做的市場方向，本週連絡確認相關交易條件與可配合產品後再決定要不要繼續花時間。</t>
    <phoneticPr fontId="1" type="noConversion"/>
  </si>
  <si>
    <t>1.300A FRED未來也是每個月50pcs左右的需求，從26年開始一季拿一次150pcs，拿掉現金折扣
2.由於三菱IGBT排單加上手邊庫存還有600多顆，有庫存壓力，目前預計26年Q2會拿EG150上線，預計觀察3個月左右開始量產(約100pcs/月)，目前維修用的預計Q4會下單，26年拿。
3.栓型快速二極體打算用EIT的開始量產，預計年用量300pcs，已提供報價。
4.手邊MMG150S120B6UC*160沒用過，若有要轉賣願意NT$550/pc請我們幫忙賣掉，手邊還有MMG400D060B6EN*30庫存 (價格還沒談)</t>
    <phoneticPr fontId="1" type="noConversion"/>
  </si>
  <si>
    <t>採購楊S</t>
    <phoneticPr fontId="1" type="noConversion"/>
  </si>
  <si>
    <t>EK60、EK110年單討論
EK60數量從340--&gt;650pcs
EK110數量從240--&gt;342pcs 
會再提供報價，預計10月下26年的單。
目前EK200剛裝出去快2個月，預計26年Q3會用於量產
預計數量60pcs左右--&gt;約4.5W
EK330小批量驗證中，26年Q2會再下50pcs小量生產
預計數量50pcs左右--&gt;約7.5W
EK600預計26年Q1才會下單，一樣20pcs/年
約6W
E25K120K會搭配客戶需求另外下單，預計5-6K/年
約11W</t>
    <phoneticPr fontId="1" type="noConversion"/>
  </si>
  <si>
    <t>目前潛伏焊提供盤式DCR960、DCR720方案，跟Nell各出去2台測試看看。
Nell的栓型SCR有擊穿現象，提供180A、350A栓型SCR重新報價。
最近變頻焊機有跟大陸原廠+新加坡經銷商討論。要嘛全退、要嘛送回去跟鎮宏一起調整到可以用。 如果能解決會再去大陸訪廠+簽約，不太可能下單MM IGBT。
250A SCR因為目前線圈廠商問題處理中暫停出貨，若問題解決我們的SCR再出去觀察3-6月，若順利預估26年鎮宏SCR下單量會在約1200-1400pcs左右。</t>
    <phoneticPr fontId="1" type="noConversion"/>
  </si>
  <si>
    <t>賀順</t>
    <phoneticPr fontId="1" type="noConversion"/>
  </si>
  <si>
    <t>李總</t>
    <phoneticPr fontId="1" type="noConversion"/>
  </si>
  <si>
    <t>樺特</t>
    <phoneticPr fontId="1" type="noConversion"/>
  </si>
  <si>
    <t>劉崑成老闆</t>
    <phoneticPr fontId="1" type="noConversion"/>
  </si>
  <si>
    <t>採購鍾S</t>
    <phoneticPr fontId="1" type="noConversion"/>
  </si>
  <si>
    <t>約下周碰面討論訂單</t>
    <phoneticPr fontId="1" type="noConversion"/>
  </si>
  <si>
    <t>LEX</t>
    <phoneticPr fontId="1" type="noConversion"/>
  </si>
  <si>
    <t>鄭老闆</t>
    <phoneticPr fontId="1" type="noConversion"/>
  </si>
  <si>
    <t>目前線材加熱機  2KHZ  輸出5000A
整流用半橋100A/1600V *4(整流*3+防逆*1)(還有200多pcs) + IGBT*2(全橋逆變 )目前用EUPEC 剩最後3-40顆 &lt;後續推薦MMG150D120B6TC&gt; + EF800M45-020DK1*10 (抓buffer 所以10顆) 
目前先下EF800M45-020DK1*50pcs  (先做5台) 
預估總需求量約4-500pcs
本周在提供MMD110A160B、MMG150D120B6TC報價</t>
    <phoneticPr fontId="1" type="noConversion"/>
  </si>
  <si>
    <t>研三 李景瀚</t>
    <phoneticPr fontId="1" type="noConversion"/>
  </si>
  <si>
    <t xml:space="preserve">目前輔電用明緯，輸入9-36VDC、輸出12V、5V、±15，RECOM替代方案RSO(Z)系列，IGBT Driver用 MOTIEN台廠4.5~9VDC in、輸出24V ，推薦RECOM RS3K-(Z)/H3系列。價格都在NT150-180左右，再提供替代方案。
目前新案有用 AC/DC DIN Rail Power Supply 110-220 Vac，輸出24V 目標價NT900，但客戶需要UL94V0 耐燃測試。
</t>
    <phoneticPr fontId="1" type="noConversion"/>
  </si>
  <si>
    <t>工程 何R</t>
    <phoneticPr fontId="1" type="noConversion"/>
  </si>
  <si>
    <t>目前電鍍整流機台都從韓國、美國進整機居多，維修絕大多數都是替代韓國ABB的盤式SCR，規格本周會提供，年用量各30pcs左右，另找FS209手持光纤电流测量仪，價格約NT600K。</t>
    <phoneticPr fontId="1" type="noConversion"/>
  </si>
  <si>
    <t>採購黃S</t>
    <phoneticPr fontId="1" type="noConversion"/>
  </si>
  <si>
    <t>詢問FP50R12KT3替代品MMGT50W120XB6C，提供更新版本MMG50W120XB6TC規格書與報價，目前生意還是沒有起來，剛好確認庫存跟我們要更新版本，這兩個月會再安排時間下單去測試。</t>
    <phoneticPr fontId="1" type="noConversion"/>
  </si>
  <si>
    <t>林志吉</t>
    <phoneticPr fontId="1" type="noConversion"/>
  </si>
  <si>
    <t>目前MM75G3T65B整機測試溫度狀況不理想，目前板子沒有空間再多加，打算詢加大耐流的IGBT，提供MM100G5T65B規格方案，價格待確認</t>
    <phoneticPr fontId="1" type="noConversion"/>
  </si>
  <si>
    <t>約訪陳副總，確認一下行程再回覆我時間</t>
    <phoneticPr fontId="1" type="noConversion"/>
  </si>
  <si>
    <t>採購劉S</t>
    <phoneticPr fontId="1" type="noConversion"/>
  </si>
  <si>
    <t>嘗試約RD，這兩週都外出比較沒有時間，詢價單會再請小姐發給我。</t>
    <phoneticPr fontId="1" type="noConversion"/>
  </si>
  <si>
    <t>RD鄭R</t>
    <phoneticPr fontId="1" type="noConversion"/>
  </si>
  <si>
    <t>目前IGBT Moudule 都是維修需求，近期在做5KW、10KW台鐵平交道充電機更換的標案，DCDC Converter都是用明緯外掛式，功率1KW，一台2pcs，輸入110輸出48/24V，只有整機要過鐵道認證，單元件都不需要，價格也不貴，沒有打算要更換。
SCR、Diode鄭先生今年會找少量的機台跟我們拿看看，時間需再追蹤。</t>
    <phoneticPr fontId="1" type="noConversion"/>
  </si>
  <si>
    <t>DCR720E18*200 夾具*150九月就會下單
目前預計12月交50pcs SCR跟夾具
26年偶數月拿25pcs跟25pcs 夾具，26年拿完
ED300W38B-080U*50pcs、EK400M84-180U*30pcs是幫日本買的維修料，希望11/15前交，上周已下單</t>
    <phoneticPr fontId="1" type="noConversion"/>
  </si>
  <si>
    <t>新科</t>
    <phoneticPr fontId="1" type="noConversion"/>
  </si>
  <si>
    <t>RD 盧S</t>
    <phoneticPr fontId="1" type="noConversion"/>
  </si>
  <si>
    <t>轉設計RD盧S，目前使用的Relay、半導體元件、DCDC都不願透漏用誰的，希望能先寄信介紹我們看過之後再討論。</t>
    <phoneticPr fontId="1" type="noConversion"/>
  </si>
  <si>
    <t>美訊</t>
    <phoneticPr fontId="1" type="noConversion"/>
  </si>
  <si>
    <t>採購江S</t>
    <phoneticPr fontId="1" type="noConversion"/>
  </si>
  <si>
    <t>MM30FU060B詢價，舊機種更新，原本的TO220溫度會太所以封裝放大，DCDC有直接跟新加坡買RECOM的東西，說我們的價格也不可能比他們便宜，沒有意願談，用在什麼地方也不清楚。</t>
    <phoneticPr fontId="1" type="noConversion"/>
  </si>
  <si>
    <t>RD 林R</t>
    <phoneticPr fontId="1" type="noConversion"/>
  </si>
  <si>
    <t>協調MM40G3U65B、E30FM-060C、E30FM-060N各申請4pcs樣品，詢問DCDC Converter產品，只說會用但不願多說，待樣品親送再跟林R細談。</t>
    <phoneticPr fontId="1" type="noConversion"/>
  </si>
  <si>
    <t>希望Maspower提供9N150在100度C時 600V以上的PD數值，因為客戶反映在高壓時擊穿狀況多，認為100度C、高壓時PD數值比規格書還要低，希望能有有較明確的測試數據，目前9N150先做單元件測試，預計本周會有結果。
12N100希望Maspower能夠提供新版、舊版明確的時間點，避免未來買錯買到舊版的卻無法分辨。
目前中壓新版12N100單元件測試pass，預計下周會開始側一整板，為期約一個月，整機測試預計25年要完成，目標26年要開始量產。</t>
    <phoneticPr fontId="1" type="noConversion"/>
  </si>
  <si>
    <t>告知MMD50L160X目前有改版，模組會放大，認為這樣所散熱片還要再開孔會比較麻煩，不過一樣先下10pcs試試看，改固馳版本。</t>
    <phoneticPr fontId="1" type="noConversion"/>
  </si>
  <si>
    <t>目前60W、30W規格皆已確定，價格NT$720、NT$550的確比較有價格優勢，約周五時間碰面，確切時間待王課長跟採購確認看能不能一起談，若後續批量價格談妥會先下各2pcs樣品，預計測試一個月左右後會送實驗室做整機IEC認證大約3-6月，完成後會再下各10pcs做小量試產大約2-3個月時間後會開始投入量產。</t>
    <phoneticPr fontId="1" type="noConversion"/>
  </si>
  <si>
    <t>不在國內，公司也不確定他回來的時間</t>
    <phoneticPr fontId="1" type="noConversion"/>
  </si>
  <si>
    <t>萊鎂醫材</t>
    <phoneticPr fontId="1" type="noConversion"/>
  </si>
  <si>
    <t>RD協理 張俊謙</t>
    <phoneticPr fontId="1" type="noConversion"/>
  </si>
  <si>
    <t>外出</t>
    <phoneticPr fontId="1" type="noConversion"/>
  </si>
  <si>
    <t>貝斯美德</t>
  </si>
  <si>
    <t>研發部門</t>
    <phoneticPr fontId="1" type="noConversion"/>
  </si>
  <si>
    <t>會議中</t>
    <phoneticPr fontId="1" type="noConversion"/>
  </si>
  <si>
    <t>旭準</t>
    <phoneticPr fontId="1" type="noConversion"/>
  </si>
  <si>
    <t>RD 葉R</t>
    <phoneticPr fontId="1" type="noConversion"/>
  </si>
  <si>
    <t>不在位子上</t>
    <phoneticPr fontId="1" type="noConversion"/>
  </si>
  <si>
    <t>已提供栓型、盤式SC報價，追蹤下單時間，說要再確認一下，有消息會趕快跟我說。</t>
    <phoneticPr fontId="1" type="noConversion"/>
  </si>
  <si>
    <t>吳副理</t>
    <phoneticPr fontId="1" type="noConversion"/>
  </si>
  <si>
    <t>目前400A Relay單顆測試都OK，目前正在裝機中，預計下周會開始測試，下周二碰面送禮</t>
    <phoneticPr fontId="1" type="noConversion"/>
  </si>
  <si>
    <t>張經理</t>
    <phoneticPr fontId="1" type="noConversion"/>
  </si>
  <si>
    <t>利愛目前2SC3153是用BJT，後續會打算改設計，預計是都改成1500V的MOS，約下周二下午碰面討論MOS及送禮</t>
    <phoneticPr fontId="1" type="noConversion"/>
  </si>
  <si>
    <t>不在位子上，發郵件</t>
    <phoneticPr fontId="1" type="noConversion"/>
  </si>
  <si>
    <t>說有參考別人的，因為空間有限、散熱片大小也固定，所以會打算把規格拉高到100A，MOS目前因為安川Driver一直沒來，所以還沒測，先把二次側處理好，再來跟安川要求Driver，SMR的二極體已經有打算換我們的，目前送到劉董那邊確認，但今年目前沒有其他SMR的訂單了。
黎副總有打算明年開始做看看逆變器(D/A)，福峰也覺得現在生意單一想找其他機會，後續再跟進追蹤。
先確認MM100G5T65B價格、報價、樣品申請
劉董除了禮拜四會去打球不在之外其他都會在公司，確認時間後再過去送禮。</t>
    <phoneticPr fontId="1" type="noConversion"/>
  </si>
  <si>
    <t>徐經理、KIKI</t>
    <phoneticPr fontId="1" type="noConversion"/>
  </si>
  <si>
    <t>送禮約訪，週三1030</t>
    <phoneticPr fontId="1" type="noConversion"/>
  </si>
  <si>
    <t>江副理</t>
    <phoneticPr fontId="1" type="noConversion"/>
  </si>
  <si>
    <t>目前SiC DCDC Driver都用帛漢的Converter，預計周四10:30碰面送禮並做RECOM的介紹，推薦SiC Driver用DCDC，型號江副理會再確認。</t>
    <phoneticPr fontId="1" type="noConversion"/>
  </si>
  <si>
    <t>聯興儀器</t>
    <phoneticPr fontId="1" type="noConversion"/>
  </si>
  <si>
    <t>約9/19 (五) 下午14:00碰面，主要是針對規格再對一次，如果沒問題就會直接開樣品採購各2pcs，測試一個月後會整機送去實驗室做整機的醫規認證，認證結束後料鍵就會綁定不會再動。
目前牽引機的產品沒有用到其他功率元件，但有印象有些機種可能會用到快速二極體的Discrete做防逆，碰面再請課長介紹工程師給我認識並了解看看。</t>
    <phoneticPr fontId="1" type="noConversion"/>
  </si>
  <si>
    <t>超象科技(手持式超音波)</t>
    <phoneticPr fontId="1" type="noConversion"/>
  </si>
  <si>
    <t>總機陳R</t>
    <phoneticPr fontId="1" type="noConversion"/>
  </si>
  <si>
    <t>總機窗口陳R henry.chen@leltek.com
先發RECOM產品介紹，會再轉給相關部門，分機跟其他部門窗口不給。</t>
    <phoneticPr fontId="1" type="noConversion"/>
  </si>
  <si>
    <t>越聖儀器(手術電刀)</t>
    <phoneticPr fontId="1" type="noConversion"/>
  </si>
  <si>
    <t>總機吳S</t>
    <phoneticPr fontId="1" type="noConversion"/>
  </si>
  <si>
    <t>info@yesng.com.tw
總機吳S，請我先傳RECOM產品介紹，會協助轉給主管，若有興趣再請主管直接跟我聯絡。</t>
    <phoneticPr fontId="1" type="noConversion"/>
  </si>
  <si>
    <t>萊鎂醫療器材(呼吸治療)</t>
    <phoneticPr fontId="1" type="noConversion"/>
  </si>
  <si>
    <t>留言給總機，總機通知研發看是否有需求再跟我聯絡</t>
    <phoneticPr fontId="1" type="noConversion"/>
  </si>
  <si>
    <t>貝斯美德(呼吸治療)</t>
    <phoneticPr fontId="1" type="noConversion"/>
  </si>
  <si>
    <t>直接不通</t>
    <phoneticPr fontId="1" type="noConversion"/>
  </si>
  <si>
    <t>音律電子</t>
    <phoneticPr fontId="1" type="noConversion"/>
  </si>
  <si>
    <t>RD 張R</t>
    <phoneticPr fontId="1" type="noConversion"/>
  </si>
  <si>
    <t>總機沒人接</t>
    <phoneticPr fontId="1" type="noConversion"/>
  </si>
  <si>
    <t>崇仁科技</t>
    <phoneticPr fontId="1" type="noConversion"/>
  </si>
  <si>
    <t>很久以前有做過呼吸機，但目前都是做相關的耗材而已，沒有任何電源相關的使用需求。</t>
    <phoneticPr fontId="1" type="noConversion"/>
  </si>
  <si>
    <t>泰映科技</t>
    <phoneticPr fontId="1" type="noConversion"/>
  </si>
  <si>
    <t>採購蕭S</t>
    <phoneticPr fontId="1" type="noConversion"/>
  </si>
  <si>
    <t>MM40G3U65B*300今年4月50台都出去了，由於客戶反映機台有狀況，下單26pcs讓RD帶去找客戶，目前Cost down壓力大，IGBT、FRED都是用ST，採購會整理目前庫存成本壓力高的項目給我，另外會幫我約RD一起碰面討論，目前IGBT年用量5-6K，MM40G3U65B預計會驗證到明年Q1左右再下。</t>
    <phoneticPr fontId="1" type="noConversion"/>
  </si>
  <si>
    <t>RD王課長、採購林S</t>
    <phoneticPr fontId="1" type="noConversion"/>
  </si>
  <si>
    <t>確認樣品訂單，本周提供MOQ報價並確認樣品交期，目前AC/DC樣品到後會開始測試，預計26年1月要將整機送實驗室認證(約3-6個月)，結束後回再送去FDA取得醫療器材字號後才可以量產，預計26年Q2會再下小量試產20台。</t>
    <phoneticPr fontId="1" type="noConversion"/>
  </si>
  <si>
    <t>洲通</t>
    <phoneticPr fontId="1" type="noConversion"/>
  </si>
  <si>
    <t>許R</t>
    <phoneticPr fontId="1" type="noConversion"/>
  </si>
  <si>
    <t>目前生意逐漸趨向小功率客製，主要在做模擬電池用於測試設備。
目前AC/DC用明緯，110-220V AC in ，輸出12V/24V/48V為主。
DC/DC 為5V、12V DC in ，輸出5V/±12V/±15V (一台各1pcs)
目前新案
AC/DC  找明緯EPP-150-12 替代方案。
110-220V AC in ， +12V輸出 12.5A (需求10A以上) 一台16pcs
DC/DC 找PHiNK A1215S-2W 替代封裝 12V DC in ，±12V 輸出
提供RECOM替代方案  (沒有一定痛點，想比較看看RECOM方案是否有比較好)
Power Relay都是用松川，原本協助對松川的業務離職，買得很不舒服。
總共有四款，平均每台用48-60pcs，提供替代方案，會在發Mail給我完整型號。(預估每顆每年400pcs)
另找100A/100V DC 插PIN式Relay 線圈電壓12V 不須輔助接點，同時提供方案 (預估100pcs/年)(HF197F-150)</t>
    <phoneticPr fontId="1" type="noConversion"/>
  </si>
  <si>
    <t>稘興</t>
    <phoneticPr fontId="1" type="noConversion"/>
  </si>
  <si>
    <t>採購施S</t>
    <phoneticPr fontId="1" type="noConversion"/>
  </si>
  <si>
    <t>找MTP20016替代方案，ED200T2GG-160R (三相橋整)並報價，買庫存備品</t>
    <phoneticPr fontId="1" type="noConversion"/>
  </si>
  <si>
    <t xml:space="preserve">找CM200DY-12NF替代方案 ( 200A / 600V ) </t>
    <phoneticPr fontId="1" type="noConversion"/>
  </si>
  <si>
    <t>山府</t>
    <phoneticPr fontId="1" type="noConversion"/>
  </si>
  <si>
    <t>目前有自己做負載給客戶測試電池/設備，測電池用200V的MOS、測600V設備推薦E9MM1-150F，另Relay目前用100A，提供HF方案、MOS、RECOM給謝R。 目前都是偏向研發中產品，量也不會多。</t>
    <phoneticPr fontId="1" type="noConversion"/>
  </si>
  <si>
    <t>目前生意狀況沒有太大變化，60A/110A/160A 目前年用量都300pcs左右，預計年底前會裝出去測試驗證，預計26年Q3才會開始起量。</t>
    <phoneticPr fontId="1" type="noConversion"/>
  </si>
  <si>
    <t>目前生意狀況沒有什麼大變化，主要都是在做舊機種的優化跟工研院合作的除能櫃研發，除了有補助之外目前也還沒有看到生意在哪裡，電池測試設備HF 的Relay目前整機廠內測試都沒問題，預計10月就會出4台給客戶，DCDC目前用明緯，交期、價格都還算滿意，RECOM的產品沒有優勢，Power Relay 用40A / 40V 國興，這個會提供給我規格請我推薦看看，無明顯痛點，單純找尋其他合作機會。</t>
    <phoneticPr fontId="1" type="noConversion"/>
  </si>
  <si>
    <t>磁量生技</t>
    <phoneticPr fontId="1" type="noConversion"/>
  </si>
  <si>
    <t>目前9N150單元件測試OK，會陸續做整機的測試。
12N100目前正在測一板(28pcs)，6KW機種，最高到600V。
預計10月底會完成測試，後續整機200pcs，希望用1/3價格購買(單次)，預計26年Q3量產。
目前高壓有東晶、UTC新板樣品還沒測
中壓目前Maspower測整板、東晶還沒測
低壓AUK已承認量產、東晶還沒測</t>
    <phoneticPr fontId="1" type="noConversion"/>
  </si>
  <si>
    <t>送禮關係維護</t>
    <phoneticPr fontId="1" type="noConversion"/>
  </si>
  <si>
    <t>鍾小姐</t>
    <phoneticPr fontId="1" type="noConversion"/>
  </si>
  <si>
    <t>送禮關係維護、訂單本周下單</t>
    <phoneticPr fontId="1" type="noConversion"/>
  </si>
  <si>
    <t>越聖儀器</t>
    <phoneticPr fontId="1" type="noConversion"/>
  </si>
  <si>
    <t>資訊都幫忙轉給RD了，但RD尚未回覆，不提供窗口</t>
    <phoneticPr fontId="1" type="noConversion"/>
  </si>
  <si>
    <t>超象科技</t>
    <phoneticPr fontId="1" type="noConversion"/>
  </si>
  <si>
    <t>RD大概1500就下班了</t>
    <phoneticPr fontId="1" type="noConversion"/>
  </si>
  <si>
    <t>歐小姐</t>
    <phoneticPr fontId="1" type="noConversion"/>
  </si>
  <si>
    <t>庫存備品需求，提供ES60R1GG-160H 替代MMK60A160B，提供規格書、報價、承認書</t>
    <phoneticPr fontId="1" type="noConversion"/>
  </si>
  <si>
    <t>下周二9/30下午1415碰面</t>
    <phoneticPr fontId="1" type="noConversion"/>
  </si>
  <si>
    <t>葉R</t>
    <phoneticPr fontId="1" type="noConversion"/>
  </si>
  <si>
    <t xml:space="preserve">張R </t>
    <phoneticPr fontId="1" type="noConversion"/>
  </si>
  <si>
    <t>張R外出，跟總機詢問音律會用到DCDC 有在台灣生產，大多外銷較多，具體使用狀況及規格還是要問張R</t>
    <phoneticPr fontId="1" type="noConversion"/>
  </si>
  <si>
    <t>盧S</t>
    <phoneticPr fontId="1" type="noConversion"/>
  </si>
  <si>
    <t>不在位子上，發mail詢問</t>
    <phoneticPr fontId="1" type="noConversion"/>
  </si>
  <si>
    <t>RD江R</t>
    <phoneticPr fontId="1" type="noConversion"/>
  </si>
  <si>
    <t>目前都在做比較小台的Source，都是用小橋整+50A/75A 650V IGBT，下半年50、100KW用模組式的電源生意非常非常差，目前我們的EG400T0F-120B 預計要到11月才有機會測試到，推薦RECOM案子，目前都還是用明緯的為主，通常船舶標案都是整機去申請，沒有特別要求，有提供助理工程師窗口Kevin，針對料號取得部分跟他確認，再提供推薦方案給他們。</t>
    <phoneticPr fontId="1" type="noConversion"/>
  </si>
  <si>
    <t>關係維護，目前還是先等獅門的IGBT失效狀況跟張經理討論過想辦法導入，其他RECOM產品都是看專案才會尋，高壓MOS量少，已報價，等獅門報告明確後找他討論，另11月左右再找採購討論年單。</t>
    <phoneticPr fontId="1" type="noConversion"/>
  </si>
  <si>
    <t>黎副總、劉董</t>
    <phoneticPr fontId="1" type="noConversion"/>
  </si>
  <si>
    <t>目前AX350一次側安川要給Driver，但時間點並未提供，目前先以Infineon的IGBT去測試看看，若有合適產品也可以推薦，約35-50A，一台24pcs 50KHZ ，MM75G3T65B測試Fail，改提供MM100G5T65B，待樣品到親送提供測試，AC/DC Converter用隸華，30W，目前買NTD350左右，如果有合適的方案再推薦。</t>
    <phoneticPr fontId="1" type="noConversion"/>
  </si>
  <si>
    <t>葉總、巫小姐</t>
    <phoneticPr fontId="1" type="noConversion"/>
  </si>
  <si>
    <t>EKF1300F-120 高頻3KHZ機種，由於Westcode交期越來越長，目前180-270天，但生意狀況越來越不穩，買得很不舒服，本次送禮找葉總重新討論，若有其他方案有意願買來試。
AC/DC 目前都是用明緯LRS100-24 ，價格交期都很滿意，難以切入。
而近期有客戶有來詢問變頻版本，目前有買Infineon、IXYS的盤式IGBT嘗試實驗，但此案目前沒有訂單、也不明確，暫時先以高頻盤式SCR+Diode方案為主。</t>
    <phoneticPr fontId="1" type="noConversion"/>
  </si>
  <si>
    <t>國內生意為主，生意慘淡，目前高頻一樣Westcode、低頻因為交期關係用Nell。
一直希望月結100天，說Nell也是這個方式，Westcode都會走專案直接付現，待星崴方案出來同時拿低頻、高頻方案重新報一個有吸引力的價格讓老闆配合我們月結30天。</t>
    <phoneticPr fontId="1" type="noConversion"/>
  </si>
  <si>
    <t>W40</t>
    <phoneticPr fontId="1" type="noConversion"/>
  </si>
  <si>
    <t>中秋送禮關係維護，目前IGBT測試過都OK，但老闆出國無法碰面，仍然不願意用我司IGBT，久久關心一下看老闆有沒有意願碰面談再決定要不要花時間，高壓MOS下個月會再下500pcs小量測試，本週直接提供1500pcs的報價單要求一年份的一起下。</t>
    <phoneticPr fontId="1" type="noConversion"/>
  </si>
  <si>
    <t>目前EK60、EK110、EK200模組今年會在下各200pcs小批量，目前大顆壓接式模組因為客戶指定沒辦法動，其他客戶用我們的，但量就不多。 大顆600A做緩啟動，有客戶下單才會在另外下，不會先備。
Discrete 機種生意不好近期都沒有動，介紹固馳250A Wire Bond方案替代SKKT215，目前SKKT買NTD990，本周報價。
近期主要是先要求林經理下一批小批量，如果產品都OK不管是要改白色殼或是要打積奇自己的標其實都OK，大顆壓接式模組如果主要客戶有機會可以用我們的話也可以打積奇的標。  預計本週提供報價與電話連絡，因為林經理說都要再看一下庫存狀況跟用量，請林經理要看可以先看，10月底11月初左右再跟他約時間碰面。</t>
    <phoneticPr fontId="1" type="noConversion"/>
  </si>
  <si>
    <t>生管黃S</t>
    <phoneticPr fontId="1" type="noConversion"/>
  </si>
  <si>
    <t>目前800A/1000A 案子RD跟老闆都還在討論中，目前模組由於Semikron價格互相競爭反而買的條件更好，先針對800A、1000A模組報價，再針對價格跟RD及廠長討論後續的數量，因為目前焊鋼筋的網焊機的新機會用到SKKT960，但目前還沒有明確訂出確定要release的時間，需再跟廠長確認。</t>
    <phoneticPr fontId="1" type="noConversion"/>
  </si>
  <si>
    <t>玉豐</t>
    <phoneticPr fontId="1" type="noConversion"/>
  </si>
  <si>
    <t>電控陳R</t>
    <phoneticPr fontId="1" type="noConversion"/>
  </si>
  <si>
    <t>目前陳R提供的A/D、D/D都是明緯的，水下用300VDC --&gt; 24V/15V/12V/，船上用220VAC --&gt; 12V/3.3V較多，目前針對需要船舶認證用VICOR的產品尚不清楚，先跟黃俊誠通過電話確認料號、需要的相關認證、用途、數量及價格。</t>
    <phoneticPr fontId="1" type="noConversion"/>
  </si>
  <si>
    <t>Bryan</t>
    <phoneticPr fontId="1" type="noConversion"/>
  </si>
  <si>
    <t>目前IGBT主要還是我們跟Star ，75A用我們的、100A用Star，小顆因為過去600V/1200V都用MMG15CB120XB6TC，但過去有一些失效狀況，而且高壓越來越少，所以高壓改用Infineon、低壓是用Star的GD20PJX65L2SF ( 20A / 650V PIM) ，我們EG30W1-065XB可以共用15A、20A、30A的低壓版本，要求下小批量，跟RD討論一下會下兩盒20pcs。
BUSBAR目前有提供方案，價格維持NTD4000/片，不收他模具費，如果我們做出來還是不OK那這件事就算了，但如果做出來OK就是一次要下100片，目前表示有意願，但要跟公司討論一下，先確認真的要弄再來忙，且下次下BUSBAR大約是26年的Q2Q3左右了。
大馬力最近有蠻多廠商有送樣品來，而且大馬力的量少，但目前還是會用我們跟STARPOWER。</t>
    <phoneticPr fontId="1" type="noConversion"/>
  </si>
  <si>
    <t>變頻焊機的案子目前跟大陸廠商跟新加坡經銷還在吵失效的事情，不繼續的可能性蠻高的。
最近我們的250A SCR有再持續出去，目前狀況都還OK，也沒有其他失效。
有提前跟謝老闆約，大約10月底11月初我們再來找時間坐下來把整個元件使用的狀況跟明年的訂單都一起討論討論。</t>
    <phoneticPr fontId="1" type="noConversion"/>
  </si>
  <si>
    <t>李R</t>
    <phoneticPr fontId="1" type="noConversion"/>
  </si>
  <si>
    <t xml:space="preserve">目前150A/400A出去狀況都還OK，預計11月底之前會再各下100pcs小批量。
針對200A/600V、300A/600V、300A/1200V目前都還是用三菱，年用量都各100pcs，因為三菱交期至少也要8個月，請我提供相應的方案。
過去有買的100A、200A 三相整流橋、FRED提供100pcs的報價，要求RD去跟採購討論一次下的量大一點不要都下幾十顆。
另外提供4A/1500V MOS規格、報價。
</t>
    <phoneticPr fontId="1" type="noConversion"/>
  </si>
  <si>
    <t>採購楊S、廠長朱R</t>
    <phoneticPr fontId="1" type="noConversion"/>
  </si>
  <si>
    <t>訂單都討論得差不多了，送禮關係維護</t>
    <phoneticPr fontId="1" type="noConversion"/>
  </si>
  <si>
    <t>林經理、林總</t>
    <phoneticPr fontId="1" type="noConversion"/>
  </si>
  <si>
    <t>目前充電機只有少量生意，庫存都還夠用，說Semikron近期價格跟我們的落差不大，希望價格能夠調整，我認為就算有稍微降價比我們便宜的可能性不大，而且現在的量也少，打算先放置一下先確認台翔的庫存狀況再決定是不是有需要動價格。</t>
    <phoneticPr fontId="1" type="noConversion"/>
  </si>
  <si>
    <t>找三菱200A/300A 2顆裝IGBT產品，200A用於400A變頻氬焊機、100A切割機*2，300A用於60A切割機*1，本週提供方案與報價並標註Rg值，會都先各買一盒去試，預計年用量各100左右，栓型快速二極體先確認一下庫存，後續會跟公司討論看一次下100pcs或300pcs，150A IGBT會再找機會用在新機，這兩個月會再排單。</t>
    <phoneticPr fontId="1" type="noConversion"/>
  </si>
  <si>
    <t>白R、江鴻展</t>
    <phoneticPr fontId="1" type="noConversion"/>
  </si>
  <si>
    <t>研二目前在研發40KW機台，想找300A以上的三相整流橋，不過一年3、40台而已，而且還在研發階段，先不花太多時間，會建議他改用三顆半橋的裝。
ACDC目前是用明緯的150W DINRAIL Power supply，輸出24V，再提供方案及報價，用於測試儀器，所以量也不大，一年頂多50台。</t>
    <phoneticPr fontId="1" type="noConversion"/>
  </si>
  <si>
    <t>目前DCDC價格沒有優勢就先不推薦，ACDC會再提供報價，目前客戶只有少量大約15pcs的訂單，會先用明緯的做，後續需求可能也要到26年，其他的半控SCR整流模組EIT+SanRex大約還有200pcs，預計是未來2-3年的量，暫時不會再下。</t>
    <phoneticPr fontId="1" type="noConversion"/>
  </si>
  <si>
    <t>明洋</t>
    <phoneticPr fontId="1" type="noConversion"/>
  </si>
  <si>
    <t>林R 林總</t>
    <phoneticPr fontId="1" type="noConversion"/>
  </si>
  <si>
    <t>150A三菱IGBT因為12nf的版本停產，要改成13t系列，希望找速度更快的FRED，本周會再推薦直接用大顆一點的方案，目前IGBT一樣是維持想要MIT的思維，即便交期都要接近一年還是不願意動。</t>
    <phoneticPr fontId="1" type="noConversion"/>
  </si>
  <si>
    <t>詢問50A PIM是因為國內有客戶少量的訂單，大約15台左右，庫存總共剩70pcs所以希望先承認我們的新版本以防萬一，目前只有50A、100A IGBT有少量訂單，庫存都一堆，除非客戶有明確大量的訂單不然現階段沒有預計下單。</t>
    <phoneticPr fontId="1" type="noConversion"/>
  </si>
  <si>
    <t>WK41</t>
    <phoneticPr fontId="1" type="noConversion"/>
  </si>
  <si>
    <t>替代800A IGBT 提供MM75G5T65B，目前Parakight、另一家也有提供樣品 跟價格</t>
    <phoneticPr fontId="1" type="noConversion"/>
  </si>
  <si>
    <t>師門100A IGBT 失效報告說明，打算先跟漳毅談一個量，再跟利愛先把100APIM用宏微的產品要回訂單，獅門若確認改善方式、出場測試方式後再跟張經理確認，若有明確改善仍有意願做測試，但目前MM跟STAR都沒有特別提到防靜電的裝置，可是過去用到現在也沒有發生過靜電擊穿的狀況。</t>
    <phoneticPr fontId="1" type="noConversion"/>
  </si>
  <si>
    <t>鴻欣</t>
    <phoneticPr fontId="1" type="noConversion"/>
  </si>
  <si>
    <t>FRED MM60F060B一次買10K久久叫一次，提供10K、20K報價，另外替代E20MM1-050F 替代IRFP460 報價</t>
    <phoneticPr fontId="1" type="noConversion"/>
  </si>
  <si>
    <t>黃俊誠</t>
    <phoneticPr fontId="1" type="noConversion"/>
  </si>
  <si>
    <t xml:space="preserve">Darren </t>
    <phoneticPr fontId="1" type="noConversion"/>
  </si>
  <si>
    <t>提出批量降價討論，但Buyer這邊只負責抓數量而已，要談量跟價主要都還是要找Sourcer，Buyer其實也只有抓Forecast的作用，沒有什麼幫助。</t>
    <phoneticPr fontId="1" type="noConversion"/>
  </si>
  <si>
    <t>目前生意不是很好，目前FUJI IGBT、SanRex SCR過去牌單都陸陸續續進來，現在生意不穩定的狀況更不可能是新產品，也不願意碰面。</t>
    <phoneticPr fontId="1" type="noConversion"/>
  </si>
  <si>
    <t>目前大多電源都會需要符合MIL軍規認證，暫約周四，周三再確認一次時間，因為對客戶、對供應商都是陳副總在碰面，時間比較不好喬，下周碰面討論DYNEX盤式的SCR跟碰面介紹RECOM</t>
    <phoneticPr fontId="1" type="noConversion"/>
  </si>
  <si>
    <t>東洋機電</t>
    <phoneticPr fontId="1" type="noConversion"/>
  </si>
  <si>
    <t>廖彥智、陳R</t>
    <phoneticPr fontId="1" type="noConversion"/>
  </si>
  <si>
    <t>會議中，下午外出請我下周再打</t>
    <phoneticPr fontId="1" type="noConversion"/>
  </si>
  <si>
    <t>MM IGBT 擊穿</t>
    <phoneticPr fontId="1" type="noConversion"/>
  </si>
  <si>
    <t>SiC 目前Inifneon用300A、350A ，推薦400A SiC ，請我提供規額、交期、價格，目前300A買一萬出頭，主要還是看價格交期，FRED想找能替代IXYS DSEI2X101-12A的產品，因為IXYS目前交期都要一年買的不舒服，想問我們有沒有相應的產品就全部轉給我們，跟Maspower要Discrete版本SOT227的產品規格書，改完之後再跟SiC一起發郵件過去並確認碰面討論的時間以及買樣品試樣的意願。</t>
    <phoneticPr fontId="1" type="noConversion"/>
  </si>
  <si>
    <t>郭經理</t>
    <phoneticPr fontId="1" type="noConversion"/>
  </si>
  <si>
    <t>800A SCR過熱問題。</t>
    <phoneticPr fontId="1" type="noConversion"/>
  </si>
  <si>
    <t>劉崑成</t>
    <phoneticPr fontId="1" type="noConversion"/>
  </si>
  <si>
    <t>友信</t>
    <phoneticPr fontId="1" type="noConversion"/>
  </si>
  <si>
    <t>洪總</t>
    <phoneticPr fontId="1" type="noConversion"/>
  </si>
  <si>
    <t>目前IGBT都還是用富士、三菱，Diode也是用日本的，目前生意不是很好，過去說有用過陸製IGBT，品質比較不穩定失效率較高，輔電電源模組直接買三菱，推RECOM，說目前希望求穩都不打算動，定時聯絡盧看看。</t>
    <phoneticPr fontId="1" type="noConversion"/>
  </si>
  <si>
    <t>推薦徐經理AC/DC ，目前有用明緯，可是隔離耐壓不夠，找24Vout 、正負15Vout、5Vout三種，先郵件提供產品規格約下周三碰面介紹討論，DCDC之前有在找TI的方案但是價格都很高，再確認一下DCDC的規格需求碰面一起討論。</t>
    <phoneticPr fontId="1" type="noConversion"/>
  </si>
  <si>
    <t>協穩</t>
    <phoneticPr fontId="1" type="noConversion"/>
  </si>
  <si>
    <t>濾波器都用變壓器做，沒有用到功率元件，推薦鐵粉芯，只說無需求不太願意對話。</t>
    <phoneticPr fontId="1" type="noConversion"/>
  </si>
  <si>
    <t>一樣是做電池測試設備出給電池廠，HVDC Relay跟Power Relay都有用到但是不多，不太願意多聊，說去看一下我們的官網資訊有需要再說。</t>
    <phoneticPr fontId="1" type="noConversion"/>
  </si>
  <si>
    <t>張R</t>
    <phoneticPr fontId="1" type="noConversion"/>
  </si>
  <si>
    <t>LINKEDIN資料的張先生是軟體RD，不方便協助轉接。</t>
    <phoneticPr fontId="1" type="noConversion"/>
  </si>
  <si>
    <t>安捷</t>
    <phoneticPr fontId="1" type="noConversion"/>
  </si>
  <si>
    <t>江R</t>
    <phoneticPr fontId="1" type="noConversion"/>
  </si>
  <si>
    <t>推薦DCDC ，目前都自己都沒有外購，近期都在忙7KW機種安規認證，可能會忙到12月，推三相整流橋，目前用量也頂多6、70顆/年，現在用IXYS，目前手邊的事情先忙到一個段落可以來討論看看，IGBT Discrete目前都還沒有測，先給他跑一下安規認證，跑得差不多時再去找他談IGBT跟三相整流橋。</t>
    <phoneticPr fontId="1" type="noConversion"/>
  </si>
  <si>
    <t>吳S下午請假，有跟他同事確認郵件都有轉給RD，會再提醒吳S，請我下周一下午可以再致電一次看看。</t>
    <phoneticPr fontId="1" type="noConversion"/>
  </si>
  <si>
    <t>黃俊誠 副理</t>
    <phoneticPr fontId="1" type="noConversion"/>
  </si>
  <si>
    <t>船上發電機產生440VAC 
船舶認證產品有兩個需求
440VAC--&gt;550VDC 從船上接電纜到水下設備推進器用
目前用EA PSI-11000 
220VAC--&gt;300VDC 從船上接電纜到水下再接明緯的DCDC轉成24V、12V、15V做MCU
目前用AEK-3000-300
目前一台載具EA*2 + AEK*4 (一年3-5台)
都須符合船舶認證</t>
    <phoneticPr fontId="1" type="noConversion"/>
  </si>
  <si>
    <t>組庫存機 下單MMG300D120B6UC*20</t>
    <phoneticPr fontId="1" type="noConversion"/>
  </si>
  <si>
    <t>週四之前會提供未來Forecast</t>
    <phoneticPr fontId="1" type="noConversion"/>
  </si>
  <si>
    <t>目前用Infineon 測都OK，安川現在還是想要用MOS做一次側，安川有承認自己MOS Driver做的不是很好，目前轉由福峰自己弄MOS Driver，預計10月底前就會完成並拿我們的MOS開始測試(目前還沒有其他方案)，100A IGBT 正在測試中，預計月底會有結果。</t>
    <phoneticPr fontId="1" type="noConversion"/>
  </si>
  <si>
    <t>Amanda、Danny</t>
    <phoneticPr fontId="1" type="noConversion"/>
  </si>
  <si>
    <t>都沒接</t>
    <phoneticPr fontId="1" type="noConversion"/>
  </si>
  <si>
    <t>黃總</t>
    <phoneticPr fontId="1" type="noConversion"/>
  </si>
  <si>
    <t>電話沒接</t>
    <phoneticPr fontId="1" type="noConversion"/>
  </si>
  <si>
    <t>AC Source RD林凱民</t>
    <phoneticPr fontId="1" type="noConversion"/>
  </si>
  <si>
    <t>目前AC Source 跟Future配合已用RECOM的ACDC投入量產，其他半導體元件都用進口品，不願多說，發個mail去自我介紹一下，分機#5050</t>
    <phoneticPr fontId="1" type="noConversion"/>
  </si>
  <si>
    <t>RD廖思遠</t>
    <phoneticPr fontId="1" type="noConversion"/>
  </si>
  <si>
    <t>半導體統購 童S</t>
    <phoneticPr fontId="1" type="noConversion"/>
  </si>
  <si>
    <t>RD葉R</t>
    <phoneticPr fontId="1" type="noConversion"/>
  </si>
  <si>
    <t>目前整機能用大陸品就用大陸品，近期都在調整過去的機種做新的系列，但元件選用還是會一樣，認為現在除非價格極具競爭力不然替代料的優先順序會排在非常後面，輔電也是自己設計，近期也沒有缺料或是cost down的議題。
請我再整理一下我們現在做的東西可以再發過去給他，先看一下有沒有什麼需要協助或是要詢的東西再來約碰面作介紹跟討論。</t>
    <phoneticPr fontId="1" type="noConversion"/>
  </si>
  <si>
    <t>奇岩綠能</t>
    <phoneticPr fontId="1" type="noConversion"/>
  </si>
  <si>
    <t>研發 林經理</t>
    <phoneticPr fontId="1" type="noConversion"/>
  </si>
  <si>
    <t>目前Relay都用泰科，BMS的其他元件大多都是用進口品牌，目前沒有什麼cost down的考量，台灣儲能的市場也不是很穩定，目前不打算做任何的更動，Converter基本上也都是用明緯的，有需要特殊認證的產品很少遇到，請我先傳相關資訊過去，如果真的有需求再來另外尋。</t>
    <phoneticPr fontId="1" type="noConversion"/>
  </si>
  <si>
    <t>鄭R</t>
    <phoneticPr fontId="1" type="noConversion"/>
  </si>
  <si>
    <t>目前工廠裝天車尚未盤點，Diode預計11月才有機會下單，有另外推高壓MOS跟Converter，有客戶會少量問變頻器，但一年可能也沒幾台，如果有其他需求再來詢問</t>
    <phoneticPr fontId="1" type="noConversion"/>
  </si>
  <si>
    <t>目前設計尺寸有稍作變動，以提供C形銅條尺寸，預算NTD600以下，數量約200pcs，約明天下午碰面確認L型尺寸與方案。</t>
    <phoneticPr fontId="1" type="noConversion"/>
  </si>
  <si>
    <t>過去窗口的硬體RD跟機構RD都已經離職了，目前土城有擴廠，儲能的部分請我聯絡三重的Jeff，是儲能跟電池研發部門的主管#8501。</t>
    <phoneticPr fontId="1" type="noConversion"/>
  </si>
  <si>
    <t>Jeff</t>
    <phoneticPr fontId="1" type="noConversion"/>
  </si>
  <si>
    <t>目前儲能主要都還是做BMS為主，只會用到低壓MOS，沒有在用Converter，目前HVDC Relay已經有在跟璞石拿宏發的產品，HIITIO的也有在用，不過是直接跟大陸原廠拿，無其他相關需求。</t>
    <phoneticPr fontId="1" type="noConversion"/>
  </si>
  <si>
    <t>RD林R</t>
    <phoneticPr fontId="1" type="noConversion"/>
  </si>
  <si>
    <t>目前SCR盤式跟模組都有在用，變頻器直接賣安川的，只有直流馬達驅動有自己生產跟買料，目前模組都用Semikron、ABB等廠家，盤式請我提供1000A以下、1500A以下、2000A以下，會需要1800V、2400V的規格，請我下周一跟他聯絡他來安排時間碰面討論，希望約早一點。</t>
    <phoneticPr fontId="1" type="noConversion"/>
  </si>
  <si>
    <t>劉老闆</t>
    <phoneticPr fontId="1" type="noConversion"/>
  </si>
  <si>
    <t>不願意對話，只有一直說不需要不需要，問他之前給他EK系列的SCR測試的狀況怎麼樣，也是直接說沒試、不需要，就掛電話。</t>
    <phoneticPr fontId="1" type="noConversion"/>
  </si>
  <si>
    <t>目前9N150由於產線人力吃緊，新人也都還在培訓中，今年不會再拿貨，12N100目前測整版狀況不錯，目前持續測試中，預計11月份會完成單版的測試，今年12N100預計會再拿200pcs做整機測試，目前APEC的MOS庫存夠用到26年Q2，若整機測試順利預計26年Q1會開始量產下單。
過去博計的機種A/D用明緯、D/D用博大，因為隔離電壓與當初博計設計原因後續固緯的機種不會再選用，會另外尋
目前新案研發需求 (此機種預估27年Release)
A/D 24V/12V out (尚未定案) 給風扇
A/D 5V out + D/D 5V--&gt;3.3V MCU
A/D 正負15V + D/D 正負12V (其他訊 號控制)
目前D/D仍在評估是否要自己做，A/D確定會用外購
高度限制30-35mm   希望有IEC61010-1/-2的工控認證
A/D 75W左右、D/D 10-20W
Continue的Isolation至少要1.5KV 
一塊板子至少各1pc，預估年用量正在確認中會再提供</t>
    <phoneticPr fontId="1" type="noConversion"/>
  </si>
  <si>
    <t>之前討論的銅牌老闆審核決定要用，目前一台需要C型*2接正負、I型*1連接兩個電池模組，兩個L型做電池模組根機櫃搭接。
目前有接到全家的訂單，用於門市削峰填谷用，預計是100台的租賃需求，會提供圖面給我，銅厚T5、耐流200A、耐壓60V</t>
    <phoneticPr fontId="1" type="noConversion"/>
  </si>
  <si>
    <t>寬譜</t>
    <phoneticPr fontId="1" type="noConversion"/>
  </si>
  <si>
    <t>櫃台</t>
    <phoneticPr fontId="1" type="noConversion"/>
  </si>
  <si>
    <t>路邊看到按門鈴介紹RECOM產品，提供相關資訊後會將資訊轉交給採購，若有需要會再聯絡。</t>
    <phoneticPr fontId="1" type="noConversion"/>
  </si>
  <si>
    <t>RD王課長</t>
    <phoneticPr fontId="1" type="noConversion"/>
  </si>
  <si>
    <t>交貨，預計26Q1完成整機並送LAB，預計26Q3LAB完成驗證，會下各10pcs小量試產，預計27年Q1量產，26Q4討論量產訂單(各500pcs)</t>
    <phoneticPr fontId="1" type="noConversion"/>
  </si>
  <si>
    <t>RD李經理</t>
    <phoneticPr fontId="1" type="noConversion"/>
  </si>
  <si>
    <t>主要生意分為分析儀、免疫檢測試劑，分析儀單價高，一台數百到數千萬不等，一年出的量很少。
分大小台機種
大機用於人體免疫實驗分析儀，過去是用明緯的，但雜訊跟抗隔離效果不是非常理想，會用A/D 轉5V   20-40W
小台用於礦物含鐵量的分析儀器，一樣會用A/D 轉5V 
總共一年出頂多10-20台。</t>
    <phoneticPr fontId="1" type="noConversion"/>
  </si>
  <si>
    <t xml:space="preserve">RD Austin今天都會議，採購會幫忙轉，但無法提供分機 </t>
    <phoneticPr fontId="1" type="noConversion"/>
  </si>
  <si>
    <t>提供未來數量Forecast ，但預測數量150A只有2年、800A只有一年出頭，無法準確估算。</t>
    <phoneticPr fontId="1" type="noConversion"/>
  </si>
  <si>
    <t>目前MOS用在SMR測試中，預計11月會有結果
一次側的MOS目前Driver 還在設計中，目前先用Infineon IGBT測試，有跟安川提案未來會再有一個Cost Down版本的打算用IGBT來做，先提供MM75G5U65BX</t>
    <phoneticPr fontId="1" type="noConversion"/>
  </si>
  <si>
    <t>巫S</t>
    <phoneticPr fontId="1" type="noConversion"/>
  </si>
  <si>
    <t>目前快速SCR都是用WestCode R1211NC12C 盤式快速SCR
目前一次拿都是30-50pcs，年用量60-80pcs左右，待提供CRRC KK9 1300-12方案，若有方案過去就可以去討論測試了</t>
    <phoneticPr fontId="1" type="noConversion"/>
  </si>
  <si>
    <t>威強電工業電腦</t>
    <phoneticPr fontId="1" type="noConversion"/>
  </si>
  <si>
    <t>公司實名制無法協助轉接，只能先提供sales信箱，請我先發個郵件，會再請相關人員回覆。</t>
    <phoneticPr fontId="1" type="noConversion"/>
  </si>
  <si>
    <t xml:space="preserve">Amanda </t>
    <phoneticPr fontId="1" type="noConversion"/>
  </si>
  <si>
    <t>直接沒接</t>
    <phoneticPr fontId="1" type="noConversion"/>
  </si>
  <si>
    <t>目前Busbar的項目公司正在確認中，獅門EG100K3-065XB廠內測試OK，詢問MMG100W060XB6TC再下一批，確認一下庫存數量再看要怎麼下，30A / 100A IGBT都說確認一下庫存之後下，持續追蹤</t>
    <phoneticPr fontId="1" type="noConversion"/>
  </si>
  <si>
    <t>詢100A 80mm三相整流橋，鎖點相同方案提供MMD150F160X規格與報價，固馳200A 三相整流橋會下20pcs補庫存，預計下週下單。</t>
    <phoneticPr fontId="1" type="noConversion"/>
  </si>
  <si>
    <t>NEXCOM新漢(海洋電腦)</t>
    <phoneticPr fontId="1" type="noConversion"/>
  </si>
  <si>
    <t>業務吳S</t>
    <phoneticPr fontId="1" type="noConversion"/>
  </si>
  <si>
    <t>公司採實名制，無法轉接，轉業務沒接。</t>
    <phoneticPr fontId="1" type="noConversion"/>
  </si>
  <si>
    <t>WinSonic(船舶顯示器)</t>
    <phoneticPr fontId="1" type="noConversion"/>
  </si>
  <si>
    <t>PM Albert</t>
    <phoneticPr fontId="1" type="noConversion"/>
  </si>
  <si>
    <t>針對電源什麼都不透漏，只說有配合的廠家，不願碰面與討論。</t>
    <phoneticPr fontId="1" type="noConversion"/>
  </si>
  <si>
    <t>目前都是工程相關的作業比較多，栓型跟盤式的下單可能要到年底才有可能會安排，現在也沒有人手測，目前我們的SCR模組狀況都不錯，近期找人代工做鎮宏自己牌子的CO2焊機，預計主要會用我們的SCR，只是還沒有設計完成，保持追蹤。</t>
    <phoneticPr fontId="1" type="noConversion"/>
  </si>
  <si>
    <t>醫揚科技(醫療工作站、電源)</t>
    <phoneticPr fontId="1" type="noConversion"/>
  </si>
  <si>
    <t>硬體RD主管 Nick</t>
    <phoneticPr fontId="1" type="noConversion"/>
  </si>
  <si>
    <t>介紹RECOM 醫療用A/D、D/D Converter，有意願碰面，目前有用不只一個廠家，請我先發Mail給他簡單介紹一下並約時間碰面，會再請負責RD確認一下相關資訊一起討論。</t>
    <phoneticPr fontId="1" type="noConversion"/>
  </si>
  <si>
    <t>寶健科技(震波醫療)</t>
    <phoneticPr fontId="1" type="noConversion"/>
  </si>
  <si>
    <t>硬體RD 謝宗閔</t>
    <phoneticPr fontId="1" type="noConversion"/>
  </si>
  <si>
    <t>介紹RECOM 醫療用A/D、D/D Converter，有意願碰面，主要是A/D，D/D有些機種不會有，請我先發mail簡單介紹一下並一起在郵件中約下週碰面的時間，現用的品牌、規格要去確認一下。</t>
    <phoneticPr fontId="1" type="noConversion"/>
  </si>
  <si>
    <t>研華(醫用電腦)</t>
    <phoneticPr fontId="1" type="noConversion"/>
  </si>
  <si>
    <t>總機不願轉接，實名制</t>
    <phoneticPr fontId="1" type="noConversion"/>
  </si>
  <si>
    <t>醫樺儀器(復健床)</t>
    <phoneticPr fontId="1" type="noConversion"/>
  </si>
  <si>
    <t>沒有需求，掛電話</t>
    <phoneticPr fontId="1" type="noConversion"/>
  </si>
  <si>
    <t>鼎眾(手術燈具)</t>
    <phoneticPr fontId="1" type="noConversion"/>
  </si>
  <si>
    <t>總機擋掉不願協助轉接</t>
    <phoneticPr fontId="1" type="noConversion"/>
  </si>
  <si>
    <t>耀宏儀器(電動病床)</t>
    <phoneticPr fontId="1" type="noConversion"/>
  </si>
  <si>
    <t>主管不願對話，無法轉接</t>
    <phoneticPr fontId="1" type="noConversion"/>
  </si>
  <si>
    <t>NKD(電動病床)</t>
    <phoneticPr fontId="1" type="noConversion"/>
  </si>
  <si>
    <t>土城廠，林R</t>
    <phoneticPr fontId="1" type="noConversion"/>
  </si>
  <si>
    <t>土城廠做醫療儀器，但目前公司暫時安排大多數土城廠人員調回三峽一樣做醫療儀器，目前只有軟體兼硬體RD 陳R留在土城廠，請我稍後撥他私人的手機跟他聯絡，目前正在走安規。</t>
    <phoneticPr fontId="1" type="noConversion"/>
  </si>
  <si>
    <t>軟硬體RD 陳志宗</t>
    <phoneticPr fontId="1" type="noConversion"/>
  </si>
  <si>
    <t>找RD陳R，說過去有用明緯的電源供應器，雖然有過醫規，但是真的送UL後發現有很多項目都是不完整的，導致整機送安規沒有辦法過，目前電動病床是用一顆500W 的A/D ，會用一顆A/D輸出24V作主要控制，要找一顆A/D輸出27V充內部的電池，且不能有風扇，請我提供A/D的醫規電源產品及規格書，並提供醫規的編號，他會去確認產品在UL測試標準是否適用，在發Mail提供規格與安規編號過去，先確認後再約時間碰面聊一下。</t>
    <phoneticPr fontId="1" type="noConversion"/>
  </si>
  <si>
    <t>醫揚科技</t>
    <phoneticPr fontId="1" type="noConversion"/>
  </si>
  <si>
    <t>RD Nick</t>
    <phoneticPr fontId="1" type="noConversion"/>
  </si>
  <si>
    <t>RD盧S</t>
    <phoneticPr fontId="1" type="noConversion"/>
  </si>
  <si>
    <t>佳新醫材</t>
    <phoneticPr fontId="1" type="noConversion"/>
  </si>
  <si>
    <t>只有代理，沒有生產</t>
    <phoneticPr fontId="1" type="noConversion"/>
  </si>
  <si>
    <t>確認銅條尺寸，預計提供C型*200pcs、L型*200pcs、I型*100pcs 報價，目前先請Paul去跟博雅及創聯詢價</t>
    <phoneticPr fontId="1" type="noConversion"/>
  </si>
  <si>
    <t>劉R</t>
    <phoneticPr fontId="1" type="noConversion"/>
  </si>
  <si>
    <t>鼎眾(手術燈、醫療電源)</t>
    <phoneticPr fontId="1" type="noConversion"/>
  </si>
  <si>
    <t>公司電話沒接</t>
    <phoneticPr fontId="1" type="noConversion"/>
  </si>
  <si>
    <t>RD經理 Nick</t>
    <phoneticPr fontId="1" type="noConversion"/>
  </si>
  <si>
    <t>目前RD Team都在台北市大安區基隆路三段155巷57號(台科大醫揚大樓)，目前都是用D/D，引薦硬體RD Ryan #2613 再跟他約時間</t>
    <phoneticPr fontId="1" type="noConversion"/>
  </si>
  <si>
    <t>追FRED、POWER RELAY產品，沒接</t>
    <phoneticPr fontId="1" type="noConversion"/>
  </si>
  <si>
    <t>固馳60A SCR 改11月底</t>
    <phoneticPr fontId="1" type="noConversion"/>
  </si>
  <si>
    <t>下班了</t>
    <phoneticPr fontId="1" type="noConversion"/>
  </si>
  <si>
    <t>林四海</t>
    <phoneticPr fontId="1" type="noConversion"/>
  </si>
  <si>
    <t>外出，手機沒接</t>
    <phoneticPr fontId="1" type="noConversion"/>
  </si>
  <si>
    <t>硬體RD 課長Ryan</t>
    <phoneticPr fontId="1" type="noConversion"/>
  </si>
  <si>
    <t>目前案子要出給美國醫療儀器設備商，再賣給醫院，研發時間2022-2025，預計年底前方案要定案。
用於車上的開刀設備DC/DC電源，需要兩顆60W電源，輸入30-130VDC，輸出48VDC (正負10%)
需要認證 : IEC60601醫規。
目前有MINMAX 40W方案，CTC方案會再提供。
目前推薦RP60Q-RUW ( 60W 16-160VDC/48VDC)
缺醫規認證+電磁波dB要求為Class B (30dB以下，客戶需要35dB以下)
目前RECOM方案只有Class A (35-45dB)
目前請RECOM提供相應推薦方案</t>
    <phoneticPr fontId="1" type="noConversion"/>
  </si>
  <si>
    <t>寶健科技</t>
    <phoneticPr fontId="1" type="noConversion"/>
  </si>
  <si>
    <t>謝宗閔 協理</t>
    <phoneticPr fontId="1" type="noConversion"/>
  </si>
  <si>
    <t>目前整機買外購AC電源，會將輸出電轉成震波，目前主要都是買Delta 整台 10-20KW電源，一年出4、50台，未來可能有機會會用到，但現在完全沒有交集點。</t>
    <phoneticPr fontId="1" type="noConversion"/>
  </si>
  <si>
    <t>巫小姐</t>
    <phoneticPr fontId="1" type="noConversion"/>
  </si>
  <si>
    <t>預計新版EKF1300-12 會先下10pcs測試看看，先跟葉總再確認一下，明天約上午時間碰面討論。</t>
    <phoneticPr fontId="1" type="noConversion"/>
  </si>
  <si>
    <t>本週提供鍍鎳、鍍錫兩種銅條報價，預計整機方案月底會確認下來，L型有可能長度會再稍微縮減，方案確認後就會先下小量訂單，先提供報價，樣品數量下週確認。</t>
    <phoneticPr fontId="1" type="noConversion"/>
  </si>
  <si>
    <t>湯老闆手機空號，公司人員告知外出，今天不會回來</t>
    <phoneticPr fontId="1" type="noConversion"/>
  </si>
  <si>
    <t>票期堅持30天，約明日碰面重新討論目前SCR用量及後續預計下單</t>
    <phoneticPr fontId="1" type="noConversion"/>
  </si>
  <si>
    <t>NKD</t>
    <phoneticPr fontId="1" type="noConversion"/>
  </si>
  <si>
    <t>陳R</t>
    <phoneticPr fontId="1" type="noConversion"/>
  </si>
  <si>
    <t>目前提供550W、600W方案，要去問UL在測試時電壓是用多少的設定去測試，預計今天就會將RECOM的產品編號發給UL單位請他們查，目前是用台灣阿達特的電源，若RECOM的UL認證有過，還是會較傾向用國際大廠的東西，會把RECOM改為Main Source，目前基本用量100pcs/年，但後續會將這顆A/D同時整合進手術燈，並預計在26年Q2前開始進行外銷，若到穩定量產階段預計用量會到500-1K/年，另外需確認RECOM RACM550-G、RACM600-L系列的Input、Output怎麼接。
下週UL的結果應該就會出來，待結果出來後約碰面討論AC/DC，定案後再討論DC/DC。</t>
    <phoneticPr fontId="1" type="noConversion"/>
  </si>
  <si>
    <t>貝斯美德(呼吸治療</t>
    <phoneticPr fontId="1" type="noConversion"/>
  </si>
  <si>
    <t>無法協助轉接</t>
    <phoneticPr fontId="1" type="noConversion"/>
  </si>
  <si>
    <t>萊鎂醫療器材(呼吸治療</t>
    <phoneticPr fontId="1" type="noConversion"/>
  </si>
  <si>
    <t>雃博(呼吸治療)</t>
    <phoneticPr fontId="1" type="noConversion"/>
  </si>
  <si>
    <t>採購Joyce#6332</t>
    <phoneticPr fontId="1" type="noConversion"/>
  </si>
  <si>
    <t xml:space="preserve">轉採購Joyce，目前用A/D比較多 一般都用90W 以下CHASSIS型，目前用Delta比較多，除醫規外沒有其他特殊要求，先發個郵件簡單介紹，再約時間過去拜訪，D/D要另外跟RD確認一下需求，爭取同時碰面。
</t>
    <phoneticPr fontId="1" type="noConversion"/>
  </si>
  <si>
    <t>雅科(電動手術台、手術燈)</t>
    <phoneticPr fontId="1" type="noConversion"/>
  </si>
  <si>
    <t>總機協助轉接RD林R，目前不在位子上，沒有分機明天再撥</t>
    <phoneticPr fontId="1" type="noConversion"/>
  </si>
  <si>
    <t>目前有長期配合廠商，不願對話</t>
    <phoneticPr fontId="1" type="noConversion"/>
  </si>
  <si>
    <t>葉總、採購巫S</t>
    <phoneticPr fontId="1" type="noConversion"/>
  </si>
  <si>
    <t>快速SCR重新推薦，提供規格書確認後會下樣品單，另提供M0859LC140 (IXYS)盤式快速Diode對應方案。</t>
    <phoneticPr fontId="1" type="noConversion"/>
  </si>
  <si>
    <t>重新提供快速SCR兩個版本的規格書，近期有客戶在談EKF2700可能有需求，EKF1300一次下100-200pcs，預計下次下單也要26年3、4月了。</t>
    <phoneticPr fontId="1" type="noConversion"/>
  </si>
  <si>
    <t>W44</t>
    <phoneticPr fontId="1" type="noConversion"/>
  </si>
  <si>
    <t>廣運</t>
    <phoneticPr fontId="1" type="noConversion"/>
  </si>
  <si>
    <t>楊特助</t>
    <phoneticPr fontId="1" type="noConversion"/>
  </si>
  <si>
    <t>目前會用到1500V Relay，主要是擔心進口問題，先發郵件簡單介紹並說明我們可以解決這個問題，再找時間聯絡</t>
    <phoneticPr fontId="1" type="noConversion"/>
  </si>
  <si>
    <t>雃博</t>
    <phoneticPr fontId="1" type="noConversion"/>
  </si>
  <si>
    <t>推薦RECOM產品，總機協助提供採購窗口Joyce</t>
    <phoneticPr fontId="1" type="noConversion"/>
  </si>
  <si>
    <t>KIKI</t>
    <phoneticPr fontId="1" type="noConversion"/>
  </si>
  <si>
    <t>要求固緯26年高壓MOS Forecast</t>
    <phoneticPr fontId="1" type="noConversion"/>
  </si>
  <si>
    <t>KEVIN</t>
    <phoneticPr fontId="1" type="noConversion"/>
  </si>
  <si>
    <t>目前正在設計輸入380V 小台的AC Source ，目前正在測試Onsemi 40A/1200V ，會再協助提供A/D D/D Converter規格以提供替代方案，再找江俊彬討論IGBT用MM的測試意願</t>
    <phoneticPr fontId="1" type="noConversion"/>
  </si>
  <si>
    <t>程R</t>
    <phoneticPr fontId="1" type="noConversion"/>
  </si>
  <si>
    <t>EK330訂單討論</t>
    <phoneticPr fontId="1" type="noConversion"/>
  </si>
  <si>
    <t>追求EK60、EK110小批量，主要還是卡在外殼顏色，如果可以做白色的就下單，要求EK40*200、EK60*300、EK110*300，要再去確認一下庫存，壓接模組EK330請我報價500pcs、EK600報價50pcs。</t>
    <phoneticPr fontId="1" type="noConversion"/>
  </si>
  <si>
    <t>E25K120K1預計這一兩週訂單就會下下來，目前EK200、EK330出去都沒什麼問題，EK200大約60-80pcs/年、EK330大約5、60左右，預計26年Q2左右會再下小批量出去走，26年底可列入量產年單討論。</t>
    <phoneticPr fontId="1" type="noConversion"/>
  </si>
  <si>
    <t>這兩週有RD教育訓練，預計約11月第二週碰面，討論12A/1500V MOS及介紹Traco power。</t>
    <phoneticPr fontId="1" type="noConversion"/>
  </si>
  <si>
    <t>林凱民</t>
    <phoneticPr fontId="1" type="noConversion"/>
  </si>
  <si>
    <t>機構朱R</t>
    <phoneticPr fontId="1" type="noConversion"/>
  </si>
  <si>
    <t>目前天宇的銅條轉給機構的朱先生處理，目前外型設計可能會有所更改，本周會完成新的設計並轉給老闆那邊審核，預計約下周時間碰面。</t>
    <phoneticPr fontId="1" type="noConversion"/>
  </si>
  <si>
    <t>RD 陳R</t>
    <phoneticPr fontId="1" type="noConversion"/>
  </si>
  <si>
    <t>採購JOYCE</t>
    <phoneticPr fontId="1" type="noConversion"/>
  </si>
  <si>
    <t>提供相關資料，目前有用MIXMAX、DELTA等廠家，手邊目前的舊案有綁安規不會更動，新案估計也要26年還不確定什麼時候會啟動，月底時間比較忙，再另約11月的時間</t>
    <phoneticPr fontId="1" type="noConversion"/>
  </si>
  <si>
    <t>醫揚</t>
    <phoneticPr fontId="1" type="noConversion"/>
  </si>
  <si>
    <t>採購Doreen</t>
    <phoneticPr fontId="1" type="noConversion"/>
  </si>
  <si>
    <t>目前AC/DC、DC/DC Converter不是她在買的，提供窗口Julie，這兩周請假，再找時間聯絡。</t>
    <phoneticPr fontId="1" type="noConversion"/>
  </si>
  <si>
    <t>高佑</t>
    <phoneticPr fontId="1" type="noConversion"/>
  </si>
  <si>
    <t>宋小姐</t>
    <phoneticPr fontId="1" type="noConversion"/>
  </si>
  <si>
    <t>詢MMF600S060U*4，中鋼維修案，預計大概12月初才會有結果</t>
    <phoneticPr fontId="1" type="noConversion"/>
  </si>
  <si>
    <t>BBU RD 鍾常新</t>
    <phoneticPr fontId="1" type="noConversion"/>
  </si>
  <si>
    <t>總機可協助轉接，會議中。</t>
    <phoneticPr fontId="1" type="noConversion"/>
  </si>
  <si>
    <t>高昌生醫(呼吸治療)</t>
    <phoneticPr fontId="1" type="noConversion"/>
  </si>
  <si>
    <t>源星生醫科技(血氧機、病患監視)</t>
    <phoneticPr fontId="1" type="noConversion"/>
  </si>
  <si>
    <t>RD都下班了，留我的聯絡方式再轉達給RD</t>
    <phoneticPr fontId="1" type="noConversion"/>
  </si>
  <si>
    <t>劉昆成</t>
    <phoneticPr fontId="1" type="noConversion"/>
  </si>
  <si>
    <t>沒有打算換料，都還是堅持用進口品，不需要</t>
    <phoneticPr fontId="1" type="noConversion"/>
  </si>
  <si>
    <t>健格</t>
    <phoneticPr fontId="1" type="noConversion"/>
  </si>
  <si>
    <t>RD 謝R</t>
    <phoneticPr fontId="1" type="noConversion"/>
  </si>
  <si>
    <t>介紹HF HVDC RELAY、FUSE，目前沒有用過HF，請我先發郵件介紹一下，看過後再討論</t>
    <phoneticPr fontId="1" type="noConversion"/>
  </si>
  <si>
    <t>協調34mm 寬SCR訂單及EK330訂單
EK40*500 EK60*200 EK110*300 EK330*500 都要白色外殼</t>
    <phoneticPr fontId="1" type="noConversion"/>
  </si>
  <si>
    <t>京華超音波</t>
    <phoneticPr fontId="1" type="noConversion"/>
  </si>
  <si>
    <t>RD魏R</t>
    <phoneticPr fontId="1" type="noConversion"/>
  </si>
  <si>
    <t>介紹RECOM，目前用A/D用明緯IRM-60/90-24ST，從60W改成90W，24VDCout，會再用2W、6W的D/D轉12V/5V，有方案先發給他，月下周三上午1000碰面介紹與討論。</t>
    <phoneticPr fontId="1" type="noConversion"/>
  </si>
  <si>
    <t>目前HVDC Relay都是用士電，請我提供400、500A 的產品規格，另外AC/DC 目前都是用明緯轉，從25W~1KW都有用，DC/DC有用CTC的產品，詢RECOM 1W D/D 5V--&gt;5V
穩壓 SIP7封裝產品報價，用於IC驅動，其他規格有些台場有些CTC，但這顆其他家的EMI都沒那麼理想，請我提供規格與報價，過去有用過RECOM的東西但都是急需臨時Mouser買，提供RECOM D/D、HF HVDC方案後確認碰面時間。</t>
    <phoneticPr fontId="1" type="noConversion"/>
  </si>
  <si>
    <t>目前都用明緯RPS60的A/D，目前還有出新機種的打算，舊的沒辦法改，有做手術燈具的朋友用明緯的醫規A/D遇到實驗室沒辦法過的狀況，提供60W  24VDCout的產品，再請林先生協助牽線。</t>
    <phoneticPr fontId="1" type="noConversion"/>
  </si>
  <si>
    <t>麗臺生醫(心電圖)</t>
    <phoneticPr fontId="1" type="noConversion"/>
  </si>
  <si>
    <t>業務經理關R</t>
    <phoneticPr fontId="1" type="noConversion"/>
  </si>
  <si>
    <t>推薦RECOM，先發個郵件做基本介紹，會把RD拉進郵件內直接討論。</t>
    <phoneticPr fontId="1" type="noConversion"/>
  </si>
  <si>
    <t>RD Ray</t>
    <phoneticPr fontId="1" type="noConversion"/>
  </si>
  <si>
    <t>連絡上RD Ray，目前電動載具已經沒有了，主要都是做Battery pack+BMS，會再買別人的電源設備組成BBU ，目前很少用Relay，都是用100V-300V MOS為主，目前有在找50A/300V的Fuse ，請我找看看有沒有方案，DC/DC目前都是用TI，目前有三款需求
1.D/D 1.2W 12V--&gt;12V 穩壓 隔離5KV
2.D/D 12V--&gt;3.3V (外部的MCU)
3.D/D 12V--&gt;5V (BMS內部的MCU)
請我發個郵件跟他簡單介紹一下他會把目前手上有的型號都給我</t>
    <phoneticPr fontId="1" type="noConversion"/>
  </si>
  <si>
    <t>大銀微</t>
    <phoneticPr fontId="1" type="noConversion"/>
  </si>
  <si>
    <t>目前HIWIN醫療設備目前都沒有在做，主要還是馬達驅動，提供35A-150A 600V/1200V IGBT方案與高壓MOS方案，會再把現在用的型號給我去確認PIN-PIN</t>
    <phoneticPr fontId="1" type="noConversion"/>
  </si>
  <si>
    <t>週三週四RD請假，追蹤失效狀況，採購會去跟RD確認清楚後約下周碰面，並提供3K的報價。</t>
    <phoneticPr fontId="1" type="noConversion"/>
  </si>
  <si>
    <t>150A、400A IGBT預計11月中前下單，目前其他整流橋、FRED還有庫存，要再確認一下數量，其他下單預計12月才會再下</t>
    <phoneticPr fontId="1" type="noConversion"/>
  </si>
  <si>
    <t>謝R</t>
    <phoneticPr fontId="1" type="noConversion"/>
  </si>
  <si>
    <t>150A、250A SCR目前都穩定，近期工程比較多，沒什麼時間組焊機，預計12月才會再下，11、12月約個時間去碰面討論明年的SCR訂單。</t>
    <phoneticPr fontId="1" type="noConversion"/>
  </si>
  <si>
    <t>三貴</t>
    <phoneticPr fontId="1" type="noConversion"/>
  </si>
  <si>
    <t>提供替代STARPOWER 400A/650V 45mm寬 2in 1 IGBT方案，目前休假人在國外，先提供規格書確認後回台灣再找時間討論，另外希望EG100K3-065XB針對靜電失效部分工廠那邊能夠提供改善方案，如果有方案利愛還是有意願繼續買來試。</t>
    <phoneticPr fontId="1" type="noConversion"/>
  </si>
  <si>
    <t>大憲光學</t>
    <phoneticPr fontId="1" type="noConversion"/>
  </si>
  <si>
    <t>蕭R</t>
    <phoneticPr fontId="1" type="noConversion"/>
  </si>
  <si>
    <t>內湖電機</t>
    <phoneticPr fontId="1" type="noConversion"/>
  </si>
  <si>
    <t>柯老闆</t>
    <phoneticPr fontId="1" type="noConversion"/>
  </si>
  <si>
    <t>東洋</t>
    <phoneticPr fontId="1" type="noConversion"/>
  </si>
  <si>
    <t>RD、採購廖R</t>
    <phoneticPr fontId="1" type="noConversion"/>
  </si>
  <si>
    <t>吳福全</t>
    <phoneticPr fontId="1" type="noConversion"/>
  </si>
  <si>
    <t>推薦SiC、Maspower FRED ， 目前事情比較多，請我先提供報價，11月中比較方便碰面</t>
    <phoneticPr fontId="1" type="noConversion"/>
  </si>
  <si>
    <t>採購彭R</t>
    <phoneticPr fontId="1" type="noConversion"/>
  </si>
  <si>
    <t>目前SMR中的AC/DC、SiC Driver的DC/DC 全部都是自己做沒有外購，接近年底暫時也沒有其他新案的消息，26年Q1再追蹤是否有新案。</t>
    <phoneticPr fontId="1" type="noConversion"/>
  </si>
  <si>
    <t>Busbar確定要弄，一樣是先兩片樣品，裝機測試大概3個月，加組裝及出貨等時間大約6個月的時間，若測試順利預計26年Q4會走批量，一次MOQ 100片，大約用12-18個月，EG30 IGBT預計測試到26年Q1，26年測試都沒問題再跟EG100K3一起談。</t>
    <phoneticPr fontId="1" type="noConversion"/>
  </si>
  <si>
    <t>上銀科技(醫療)</t>
    <phoneticPr fontId="1" type="noConversion"/>
  </si>
  <si>
    <t>實名制不協助轉接</t>
    <phoneticPr fontId="1" type="noConversion"/>
  </si>
  <si>
    <t>黃R</t>
    <phoneticPr fontId="1" type="noConversion"/>
  </si>
  <si>
    <t>提供CM200、300DY-12NF產品規格書，目前還是希望參照12NF的系列去做產品推薦，目前與獅門討論推薦規格中，若有方案就會都下一盒小量測試。</t>
    <phoneticPr fontId="1" type="noConversion"/>
  </si>
  <si>
    <t>採購陳S</t>
    <phoneticPr fontId="1" type="noConversion"/>
  </si>
  <si>
    <t>要求今年排26年6月~27年底的年單，近期會跟倉庫及RD都討論過再找我過去一起討論，重新提供一版報價單讓利愛排26年7月後的單。</t>
    <phoneticPr fontId="1" type="noConversion"/>
  </si>
  <si>
    <t>FRED 10月底拿到貨，預計11月要把整機出到泰國，後面訂單大概12月或是明年Q1會再下，目前後面交機時間跟數量還沒有定下來</t>
    <phoneticPr fontId="1" type="noConversion"/>
  </si>
  <si>
    <t>傑邁醫學(復健)</t>
    <phoneticPr fontId="1" type="noConversion"/>
  </si>
  <si>
    <t>RD何R</t>
    <phoneticPr fontId="1" type="noConversion"/>
  </si>
  <si>
    <t>目前公司走向會越來越趨向可攜式的復健設備，現在A/D用明緯60W  48VDCout，D/D用MINMAX跟TRACO POWER 直接在Mouser買，會發信提供目前廠內用的全部型號與大概數量，會再提供對應方案與報價。</t>
    <phoneticPr fontId="1" type="noConversion"/>
  </si>
  <si>
    <t>詢問FGH20N60UFD  (ONSEMI 20A / 600V TO-247) 方案，但詢問尋替代料的原因採購什麼都不知道，先建議用MM40G3U65B共用，並要求約RD碰面談完再決定是否要做其他判斷。</t>
    <phoneticPr fontId="1" type="noConversion"/>
  </si>
  <si>
    <t>目前RECOM產品單元件測試沒問題，但因為新機種要增加醫規藍芽資料通訊的功能，找到後才會整機送實驗室，預計11月底左右材料會比較齊全能夠組樣機，組完再RUN的時候可以過去現場看。</t>
    <phoneticPr fontId="1" type="noConversion"/>
  </si>
  <si>
    <t>總機轉接，沒接。</t>
    <phoneticPr fontId="1" type="noConversion"/>
  </si>
  <si>
    <t>Alva</t>
    <phoneticPr fontId="1" type="noConversion"/>
  </si>
  <si>
    <t>新代12/12開始年終盤點，12月訂單接調整至11月底</t>
    <phoneticPr fontId="1" type="noConversion"/>
  </si>
  <si>
    <t>W45</t>
    <phoneticPr fontId="1" type="noConversion"/>
  </si>
  <si>
    <t>陳小姐</t>
    <phoneticPr fontId="1" type="noConversion"/>
  </si>
  <si>
    <t>討論2026排單，25年沒有辦法再Pull in，提供報價單，先取得MMD100EB160X的訂單，其他耀等張經理回來台灣跟他確認後再陸續排過來。</t>
    <phoneticPr fontId="1" type="noConversion"/>
  </si>
  <si>
    <t>要求FRED、IGBT 2025年底前再下一批訂單，目前手上庫存充足沒有缺料不願意下，不打算用價格逼他下單所以作罷。</t>
    <phoneticPr fontId="1" type="noConversion"/>
  </si>
  <si>
    <t>Buyer Alva</t>
    <phoneticPr fontId="1" type="noConversion"/>
  </si>
  <si>
    <t>FRED原訂11月交24K，希望只交3K其他Push out到26年一月，要求到11月交9K，其他15K在12月份拿進來，2026/01/05發貨，IGBT因為都是蘇州那邊的需求只能照他們的要求下，也無法提前Pull in或是提供訂單交換。</t>
    <phoneticPr fontId="1" type="noConversion"/>
  </si>
  <si>
    <t>南下出差碰面交流，希望能重新認識並打探看看有沒有什麼其他交集。</t>
    <phoneticPr fontId="1" type="noConversion"/>
  </si>
  <si>
    <t>MSI</t>
    <phoneticPr fontId="1" type="noConversion"/>
  </si>
  <si>
    <t>採購林R</t>
    <phoneticPr fontId="1" type="noConversion"/>
  </si>
  <si>
    <t>目前FUSE選用中榮 800V、1000V，Relay只說很多進口品都有用過，不透漏用哪一家，介紹和誠產品，目前會以2nd Source方向進行，碰面時間需另外再確認。</t>
    <phoneticPr fontId="1" type="noConversion"/>
  </si>
  <si>
    <t>要求生管提供26年總量Forecast，還在確認中尚未明確。</t>
    <phoneticPr fontId="1" type="noConversion"/>
  </si>
  <si>
    <t>要求提供MM40G3U65B報價，但詢問前陣子失效狀況也不確定，詢問替代Onsemi IGBT的需求原因等任何細節都不知道，全部推給RD，只能要求協助約RD先碰面在決定，本周會再提供報價逼逼看採購有沒有辦法上RD出來碰面。</t>
    <phoneticPr fontId="1" type="noConversion"/>
  </si>
  <si>
    <t>目前EK300的庫存還有一些，這顆出的比較少暫時沒有需求，EK600一年頂多就60-80pcs，目前還有150多顆，暫不考慮下單。
希望我們白色殼的小顆模組先出去試試看，其他的產品都還有庫存，要下可能也是明年Q2左右了。</t>
    <phoneticPr fontId="1" type="noConversion"/>
  </si>
  <si>
    <t>機構 謝R</t>
    <phoneticPr fontId="1" type="noConversion"/>
  </si>
  <si>
    <t>目前除了電芯之外，Battery Pack到BMS都自己做(PCS買現成)，目前都是標台電的工程，Relay大顆200A、500A都是用泰科，但泰科500A做300A電流滿仔會出現沾黏狀況，提供觸點、彈簧客製方向並推和誠產品，需再提供Relay、Fuse的報價</t>
    <phoneticPr fontId="1" type="noConversion"/>
  </si>
  <si>
    <t>做電池測試設備，Relay因開關速度關係用的少(士電300~500A HVDC Relay)，。都是用低、中壓的MOS，高壓的會因應BBU的需求有一些較高壓(1000V、1200V MOS)的需求，目前DC/DC會用到24V--&gt;12V、12V--&gt;5V、5V--&gt;5V的需求，先以RY系列5V--&gt;5V報價為主</t>
    <phoneticPr fontId="1" type="noConversion"/>
  </si>
  <si>
    <t>京華</t>
    <phoneticPr fontId="1" type="noConversion"/>
  </si>
  <si>
    <t>RD 魏R</t>
    <phoneticPr fontId="1" type="noConversion"/>
  </si>
  <si>
    <t>目前AC/DC都是用明緯90W  --&gt;24VDC產品，沒打算動。
DC/DC 目前用模甸，找2nd Source
RS6系列 ( 6W SIP8封裝 )
24V--&gt;24V/12V/5V(較多)
RI系列 ( 2W SIP4封裝 )
24V--&gt;24V(較多)/5V/12V(較少)
IGBT部分過去用Vincotech還有4~5K的庫存量，雖然新板還是有考慮用Discrete，但也要先等Vinco的用的差不多才有可能，時間還早，目前預計MM (MM75G5T65B )、Vinco、天狼星都有提供IGBT Discrete，預計明年三月前會測完。
待提供DC/DC報價與RECOM電子型錄。</t>
    <phoneticPr fontId="1" type="noConversion"/>
  </si>
  <si>
    <t>楊R</t>
    <phoneticPr fontId="1" type="noConversion"/>
  </si>
  <si>
    <t>改約11月W3碰面討論DC/DC跟12N150案子，12N100也預計差不多時間單板測試會有結果。</t>
    <phoneticPr fontId="1" type="noConversion"/>
  </si>
  <si>
    <t>麗臺生醫</t>
    <phoneticPr fontId="1" type="noConversion"/>
  </si>
  <si>
    <t>關經理出差，約訪改11月底。</t>
    <phoneticPr fontId="1" type="noConversion"/>
  </si>
  <si>
    <t>雅科</t>
    <phoneticPr fontId="1" type="noConversion"/>
  </si>
  <si>
    <t>RD Miller</t>
    <phoneticPr fontId="1" type="noConversion"/>
  </si>
  <si>
    <t>做電動手術台、手術燈具，目前沒有新產品，目前都用明緯A/D，D/D的部分都是外包給廠商把板子插好才送來，目前做內視鏡燈具的下游廠商因為用明緯的A/D斜波波行不穩導致醫規沒有過，提供RACM60-24規格與報價，會先買3pcs測試，會再提供插件廠家跟下游廠商的窗口給我。</t>
    <phoneticPr fontId="1" type="noConversion"/>
  </si>
  <si>
    <t>採購Joyce</t>
    <phoneticPr fontId="1" type="noConversion"/>
  </si>
  <si>
    <t>約11月底碰面，目前還沒有聽說有其他新案，舊案無法替代，先約碰面做EIT及RECOM介紹，要求負責RD一同碰面，RD部分尚在確認中。</t>
    <phoneticPr fontId="1" type="noConversion"/>
  </si>
  <si>
    <t>RD涂S</t>
    <phoneticPr fontId="1" type="noConversion"/>
  </si>
  <si>
    <t>目前IGBT 用FUJI、Infineon等產品為主，重新介紹EIT並要求下周二碰面，時間正在確認中。</t>
    <phoneticPr fontId="1" type="noConversion"/>
  </si>
  <si>
    <t>約下周二下午碰面討論Busbar細節，並討論後續IGBT訂單及數量。</t>
    <phoneticPr fontId="1" type="noConversion"/>
  </si>
  <si>
    <t>RD黃R</t>
    <phoneticPr fontId="1" type="noConversion"/>
  </si>
  <si>
    <t>RD黃R跟廠長下周要出差去歐洲，不打算只去跟處長碰面，此次出差金銲先pass。</t>
    <phoneticPr fontId="1" type="noConversion"/>
  </si>
  <si>
    <t>目前再找人幫忙代工鎮宏牌CO2焊機，目前設計尚未完成也還在追，預計明年250A SCR需求約1200pcs，EIT產品約暫800~1K的量，但進度尚未明朗，去碰面確認。</t>
    <phoneticPr fontId="1" type="noConversion"/>
  </si>
  <si>
    <t>傑邁醫學</t>
    <phoneticPr fontId="1" type="noConversion"/>
  </si>
  <si>
    <t>RD Jason</t>
    <phoneticPr fontId="1" type="noConversion"/>
  </si>
  <si>
    <t>提供目前在使用MIXMAX跟TRACO POWER的產品規格，TRACO POWER由於是幫德國客戶代工，所以訂單數量都不是很確定，兩款大約也是各100-200pcs，MIXMAX用於傑邁自己牽引機的牌子，但此機種預計26年會phase out，約碰面介紹RECOM同時討論傑邁新機種牽引機。</t>
    <phoneticPr fontId="1" type="noConversion"/>
  </si>
  <si>
    <t>沒接，先發Mail確認時間</t>
    <phoneticPr fontId="1" type="noConversion"/>
  </si>
  <si>
    <t>提供200A、300A IGBT規格，約下周四上午碰面，再全部確認IGBT、FRED、栓行的各個進度跟時間點，並確認後續的交易條件。</t>
    <phoneticPr fontId="1" type="noConversion"/>
  </si>
  <si>
    <t>台焊</t>
    <phoneticPr fontId="1" type="noConversion"/>
  </si>
  <si>
    <t>顏老闆</t>
    <phoneticPr fontId="1" type="noConversion"/>
  </si>
  <si>
    <t>提供IGBT、MOS報價，確認一下後會下下來，有要求25年拿貨，約下周碰面確認。</t>
    <phoneticPr fontId="1" type="noConversion"/>
  </si>
  <si>
    <t>下周出國不再公司無法碰面，目前三箱整流橋耀在確認一下庫存，今年沒有其他需求，頂多就是12月下明年的單而已。</t>
    <phoneticPr fontId="1" type="noConversion"/>
  </si>
  <si>
    <t>目前安川希望一次側用MOS，但提供Rohm方案福峰不打算接受(成本問題)，目前正在用我們80A/650V Maspower MOS做測試(IXYS待測)
但安川對於用陸品的MOS很反彈，所以除了安川要求的MOS外，福峰打算提供IGBT一次側的方案給安川，希望能提供MM75G5U65BX  (一台24pcs，希望60pcs)去做測試。
如果測試OK就會以我們的為報告主體去跟安川爭取，FRED、二次側IGBT測試都OK，等前面一次側方案OK再來決定價格。
SMR的部分如果安川這邊聽從福峰建議改用IGBT，那SMR的MOS就不會動</t>
    <phoneticPr fontId="1" type="noConversion"/>
  </si>
  <si>
    <t>涂S</t>
    <phoneticPr fontId="1" type="noConversion"/>
  </si>
  <si>
    <t>林R今日下午請假，涂S行程確認中，要周一再確認一下碰面時間</t>
    <phoneticPr fontId="1" type="noConversion"/>
  </si>
  <si>
    <t>春豆科技</t>
  </si>
  <si>
    <t>黃老闆</t>
  </si>
  <si>
    <t>約碰面討論RELAY、FUSE、DCDC，目前比較多都做一些軍規的案子，黃老闆電話0926-363907</t>
    <phoneticPr fontId="1" type="noConversion"/>
  </si>
  <si>
    <t>W46</t>
    <phoneticPr fontId="1" type="noConversion"/>
  </si>
  <si>
    <t>約訪時間更改至下周，下周2~4人都不在無法碰面，追蹤整流橋訂單，需再確認一下庫存，目前預計要12月或明年Q1才會有需求再下單。</t>
    <phoneticPr fontId="1" type="noConversion"/>
  </si>
  <si>
    <t>目前生意狀況差，改約下周碰面確認狀態，重新討論看看250A三相整流橋、200A/300A/400A IGBT、FRED模組，看有什麼條件可以換我們的。</t>
    <phoneticPr fontId="1" type="noConversion"/>
  </si>
  <si>
    <t>碰面討論Busbar細節並取得樣品訂單，同時跟Bryan討論30A IGBT、EG100K3-065XB與大馬力用200~400A 2in1 IGBT</t>
    <phoneticPr fontId="1" type="noConversion"/>
  </si>
  <si>
    <t>黃老闆</t>
    <phoneticPr fontId="1" type="noConversion"/>
  </si>
  <si>
    <t>碰面討論HVDC Relay、Fuse、DC/DC</t>
    <phoneticPr fontId="1" type="noConversion"/>
  </si>
  <si>
    <t>目前鎮宏在找人開發CO2焊機，貼鎮宏的牌子，但目前還在設計中，預計26年 250A SCR用量1200PCS，EIT SCR約占900-1K，碰面追蹤目前焊機的研發狀況與明年的時間點。</t>
    <phoneticPr fontId="1" type="noConversion"/>
  </si>
  <si>
    <t>約訪時間更改，並要求提供目前用的DCDC與Traco Power產品型號。</t>
    <phoneticPr fontId="1" type="noConversion"/>
  </si>
  <si>
    <t>碰面介紹HIITIO Relay、Fuse方案與RECOM介紹，已提供Fuse、Converter方案過去。</t>
    <phoneticPr fontId="1" type="noConversion"/>
  </si>
  <si>
    <t>碰面討論200A/300A IGBT、討論150AIGBT明年的狀態並要求提前裝新機、栓型FRED明年訂單討論。</t>
    <phoneticPr fontId="1" type="noConversion"/>
  </si>
  <si>
    <t>取得MMG100S120B6UC、MMG150S120B6UC、E20N50B訂單，碰面關係維護與狀態更新</t>
    <phoneticPr fontId="1" type="noConversion"/>
  </si>
  <si>
    <t>約訪時間更改，下周整周國外出差無法碰面，150A/400A IGBT催下單，目前三菱的庫存還有大概各200pcs，李R會去跟老闆那邊確認一下，怕年底有庫存還下單會有意見，持續追蹤。</t>
    <phoneticPr fontId="1" type="noConversion"/>
  </si>
  <si>
    <t>持續要求碰面拜訪，但2nd Source感覺就不是很積極，無法提供可拜訪的明確時間，持續追蹤</t>
    <phoneticPr fontId="1" type="noConversion"/>
  </si>
  <si>
    <t>周三約訪時間確認</t>
    <phoneticPr fontId="1" type="noConversion"/>
  </si>
  <si>
    <t>RD Peter</t>
    <phoneticPr fontId="1" type="noConversion"/>
  </si>
  <si>
    <t>詢問MM40G3U65B後續在客戶端失效狀況，只說不是IGBT的問題，其他都不清楚，要求碰面也只說會幫忙問問看，問什麼都不確定，提供MM40G3U65B*3Kpcs報價單，再郵件要求約訪。</t>
    <phoneticPr fontId="1" type="noConversion"/>
  </si>
  <si>
    <t>碰面介紹EIT、RECOM方案以取代目前MIXMAX產品用於新復健儀器開發，並同時討論目前幫德國OEM的Traco Power方案的狀況與案子的size。</t>
  </si>
  <si>
    <t>協調明年IGBT Pull in 到今年交，協調後只能先拉1K，其他還是維持26年。</t>
    <phoneticPr fontId="1" type="noConversion"/>
  </si>
  <si>
    <t>目前是會用到1500V的Relay跟Fuse，但現階段使用品牌與案件狀況等都不願意透漏，約訪也說要12月再確認看看</t>
    <phoneticPr fontId="1" type="noConversion"/>
  </si>
  <si>
    <t>機構RD 朱R</t>
    <phoneticPr fontId="1" type="noConversion"/>
  </si>
  <si>
    <t>追蹤銅條目前進度，目前11月底會先交5台樣機，會先用庫存Cable先組裝出給全家，後續量產要26年Q2左右，預計年後才有辦法討論。</t>
    <phoneticPr fontId="1" type="noConversion"/>
  </si>
  <si>
    <t xml:space="preserve">目前已提供AC/DC Traco Power方案，新機種才會使用，預計26年Q1針對新機使用再來討論，今年還沒有時間開始設計跟選料。
目前12N100單板測試OK，再來會用200pcs裝整機，希望Free Sample或1/3價格買，目前沒有答應，原博計使用產品為AUK 900V的MOS，若12N100整機測試順利，會直接全部替換掉AUK的中壓MOS (12N100表現較佳)，預計25年底整機驗證完成，26年量產，用量50K左右。
近期東晶有來推9A/1500V 高壓MOS，規格書為題釐清中尚未測試，若測試理想可能會分到我們9N150的量。
12N150希望能提供10pcs 樣品，今年可以先做單元件測試，72KW負載的案子會再26年Q1立案，若12N150單元件測試OK後續會以這顆MOS作為主料設計去更改散熱器，目前暫無其他方案，也還沒有尋，預計27年Release。
另一新案2KW電子負載，詢40-60V Rds(on) 10mohm的產品，預估年用量30-50K，目前無其他方案，跟72W案子一樣26年Q1立案。
</t>
    <phoneticPr fontId="1" type="noConversion"/>
  </si>
  <si>
    <t>預計本周五會安排時間將EK60、EK110、EK160放上去測試，單元件預計至少也要測個一個月，後續小批量會買個50pcs左右，但測試完成也接近年底了，如果測試都順利大約26年Q1會再下小批量的訂單。
另討論6 in 1 SCR模組，主要還是成本考量，且目前Discrete也是40A/1200V一種規格比較多，不過也大概1、2K/年而已，且成本與價格競爭的關係，不會再選用cost較高的產品。</t>
    <phoneticPr fontId="1" type="noConversion"/>
  </si>
  <si>
    <t>RD 盧副理</t>
    <phoneticPr fontId="1" type="noConversion"/>
  </si>
  <si>
    <t>提供RECOM RYK系列，由於是穩壓使用，不需要On/Off PIN腳，如果能不要最好，提供規格書先確認一下規格。</t>
    <phoneticPr fontId="1" type="noConversion"/>
  </si>
  <si>
    <t>協調台焊MMG150S120B6UC跟他買回來賣。</t>
    <phoneticPr fontId="1" type="noConversion"/>
  </si>
  <si>
    <t>RD Sam</t>
    <phoneticPr fontId="1" type="noConversion"/>
  </si>
  <si>
    <t>目前高壓箱都直接整個從大陸拿，除了一些少量客製的案子外，天宇現在沒有在買HVDC的Relay跟Fuse，只有買低壓MOS，A/D目前是用明緯240W 轉24VDC的產品，DC/DC之前有上Mouser買過RECOM RSM0505S 1W DC/DC 
約11/28下午碰面，重新了解天宇目前有哪些產品線及各自的狀況，持續尋找新交集點。</t>
    <phoneticPr fontId="1" type="noConversion"/>
  </si>
  <si>
    <t>博鑫醫電(生命監測)</t>
    <phoneticPr fontId="1" type="noConversion"/>
  </si>
  <si>
    <t>實名制不協助轉接。</t>
    <phoneticPr fontId="1" type="noConversion"/>
  </si>
  <si>
    <t>惠揚生技(醫療電腦)</t>
    <phoneticPr fontId="1" type="noConversion"/>
  </si>
  <si>
    <t>不願協助轉接，請我發信給info</t>
    <phoneticPr fontId="1" type="noConversion"/>
  </si>
  <si>
    <t>目前A/D、D/D都用明緯，D/D都用12V--&gt;12V/5V，會再提供目前使用的型號、封裝跟價格。
目前400V Relay剛出到日本裝機使用約5天，狀況都良好，後續的HVDC Relay會全部轉給EIT，沒有打算再跟士電買，由於2、300V以上的電池測試設備才會有Relay，所以需求可能要到12月或是26年Q1才會再下單。
推薦HIITIO Fuse方案，目前都用50A-200A/500V-750V左右的規格，現在都直接去Mouser買Littlefuse的，各型號加總約1-2K/年。
會再提供A/D、D/D跟Fuse 型號讓我提供對應方案。</t>
    <phoneticPr fontId="1" type="noConversion"/>
  </si>
  <si>
    <t>RD陳R</t>
    <phoneticPr fontId="1" type="noConversion"/>
  </si>
  <si>
    <t>目前電動病床、手術燈、嬰兒保溫箱先用Adaptor的600W A/D的做UL認證，做了兩年整機UL認證今年底才開始出貨。
目前已提供RECOM 600W A/D方案，預計可用於明年開始研發的新系列產品認證，由於近期有FDA工廠稽核，約農曆年後討論這顆A/D，若認證OK會直接拿我們的A/D也去註冊UL認證的料號。
目前跟Adaptor下單都是以MOQ100pcs去下單，但明年的年用量目前還抓不太出來，保持聯絡。</t>
    <phoneticPr fontId="1" type="noConversion"/>
  </si>
  <si>
    <t>Delta</t>
    <phoneticPr fontId="1" type="noConversion"/>
  </si>
  <si>
    <t>採購Yumin</t>
    <phoneticPr fontId="1" type="noConversion"/>
  </si>
  <si>
    <t>電話沒接，發Mail介紹HIITIO</t>
    <phoneticPr fontId="1" type="noConversion"/>
  </si>
  <si>
    <t>提供RECOM 60W A/D ，是幫下游做內視鏡照明的廠商問的，今年用明緯的A/D醫規認證9個多月fail。
但目前該廠商訂單狀況尚未明確，明確後才會做進一步洽談。
雅科本身目前都是用明緯60W/90W A/D產品，如果要談RECOM的東西可能要26年中或年底才有可能開始開發新系列，先不理他。</t>
    <phoneticPr fontId="1" type="noConversion"/>
  </si>
  <si>
    <t>告知MMG150S120B6UC停產，目前尚未釋出新方案，手邊還有160pcs，看能不能全買，主要還是看價格，請我報價。</t>
    <phoneticPr fontId="1" type="noConversion"/>
  </si>
  <si>
    <t>台強</t>
    <phoneticPr fontId="1" type="noConversion"/>
  </si>
  <si>
    <t>二代Brian</t>
    <phoneticPr fontId="1" type="noConversion"/>
  </si>
  <si>
    <t>華儀</t>
    <phoneticPr fontId="1" type="noConversion"/>
  </si>
  <si>
    <t>確認RECOM RYK系列規格，請我提供Sample與200pcs的報價。</t>
    <phoneticPr fontId="1" type="noConversion"/>
  </si>
  <si>
    <t>目前MOS正在測試還沒那麼快有結果，一次側IGBT MM75G5U65BX要求用買的，請我發報價單給他跟Lex，會再另外下單。</t>
    <phoneticPr fontId="1" type="noConversion"/>
  </si>
  <si>
    <t>葉R本周國外出差，請妹妹幫忙轉達約訪，下周再聯繫。</t>
    <phoneticPr fontId="1" type="noConversion"/>
  </si>
  <si>
    <t>由於生產人力吃緊，目前詢料都轉到吳經理#250，Cena暫時沒有在做詢料工作，明年看看產線人力有沒有辦法補足才會再調整回來。</t>
    <phoneticPr fontId="1" type="noConversion"/>
  </si>
  <si>
    <t>吳經理</t>
    <phoneticPr fontId="1" type="noConversion"/>
  </si>
  <si>
    <t>約訪採購討論RECOM AC/DC Converter，目前用MinMax、Murata，約12/5碰面討論，再發個mail確認一下時間。</t>
    <phoneticPr fontId="1" type="noConversion"/>
  </si>
  <si>
    <t>雙儀科技(DC Source)</t>
    <phoneticPr fontId="1" type="noConversion"/>
  </si>
  <si>
    <t>都從大陸生產整機搬進來，台灣只是銷售點而已沒有在生產。</t>
    <phoneticPr fontId="1" type="noConversion"/>
  </si>
  <si>
    <t>採購Julie</t>
    <phoneticPr fontId="1" type="noConversion"/>
  </si>
  <si>
    <t>請假中，月底才會上班，其他採購都不太清楚</t>
    <phoneticPr fontId="1" type="noConversion"/>
  </si>
  <si>
    <t>還是一樣推託說會再發詢價單來，要求11月底約訪，目前時間不太確定，請我時間接近一點再約時間</t>
    <phoneticPr fontId="1" type="noConversion"/>
  </si>
  <si>
    <t>晉弘科技(醫療光學掃瞄儀器)</t>
    <phoneticPr fontId="1" type="noConversion"/>
  </si>
  <si>
    <t>可協助轉接，但RD外出，另找時間聯絡</t>
    <phoneticPr fontId="1" type="noConversion"/>
  </si>
  <si>
    <t>W48</t>
    <phoneticPr fontId="1" type="noConversion"/>
  </si>
  <si>
    <t>跟大陸合作做高週波新機，由大陸研發後續鉦凱自己買材料做，預計用DRD720+MMG450WB120B6TC做(18KHZ)
12月中旬整機會從大陸進來台灣，1月會做整機測試
預計12月中再過去看一下機台確認規格，26年1月碰面討論後續數量與報價。</t>
    <phoneticPr fontId="1" type="noConversion"/>
  </si>
  <si>
    <t>目前生意衰退嚴重，大多都從大陸搬整機進來。
目前零件大多都是維修用。
FRED MacMic SOT-227尺寸不合，推Maspower SOT-227 產品
因有客戶詢問，想研發400KHZ高頻產品，還在非常初期的階段，提供400A 62mm寬SiC Module、14mohm SiC Discrete 3L版本、Maspower SOT-227 FRED 1200V 產品規格。
後續先追蹤FRED為主，SiC估計可能性很低。</t>
    <phoneticPr fontId="1" type="noConversion"/>
  </si>
  <si>
    <t xml:space="preserve">Busbar 高度、長、寬公差需求0.5mm，先告知價格會有所變動，但仍不透漏可接受價格極限，請博雅重新報一個做得出來的價格，如果漳毅不接受這個案子就作罷。
EG30預計測半年後承認，因為是替代30A以下的產品，希望能再便宜一點，如果OK可以15A、20A都共用。
EG100廠內測試OK，目前要先銷一下STAR的庫存，預計農曆年後下小批量20pcs。
30HP以上產品，一片Busbar配4顆IGBT+3顆整流橋(DA)，預計100片用一年半~2年，一年應該要有200pcsIGBT+150 Diode
目前大馬力的整流橋有我們的110A、130A，還有Infineon、他牌有買一顆200A一樣封裝的產品，如果我們有也可以提供方案參考。
另詢問Daxin 150A IGBT 的650V方案，10-20pcs需求，尚在確認中。
先鋪陳兩顆裝IGBT、兩顆裝整流橋、EG30、EG100，約26Q1碰面整個再一起談。 </t>
    <phoneticPr fontId="1" type="noConversion"/>
  </si>
  <si>
    <t>過去都只是單純Design House的性質，只賣設計。
目前打算出自有品牌的產品
48VDC--&gt;380VDC--&gt;Inverter ，需求功率6KW (應該沒有方案)(一台*1pcs
384VDC--&gt;24VDC   120W(一台*1
20W D/D 48V--&gt;5V(一台*4
通訊*2、驅動、MCU
48V--&gt;3.3V*2 : IC、Micro-control
隔離都是1KV以上即可
目前用MIXMAX
Relay 300A/1000V方案提供
Fuse 600A / 1000V方案提供
(目前沒有封裝限制)  新案需求，以前沒有用，需要UL認證</t>
    <phoneticPr fontId="1" type="noConversion"/>
  </si>
  <si>
    <t>鎮宏牌CO2焊機研發中，預計要到26Q1才會有結果，待進度較明朗再去跟他談150A、250A SCR
栓型 先下350A 一台*6pcs的訂單，年用量年底交貨
今年主要都是在工程跟CO2焊機設計，元件用的量比較少，待焊機研發進度較明確再來談。</t>
    <phoneticPr fontId="1" type="noConversion"/>
  </si>
  <si>
    <t>醫療復健器材，國內9成左右的生意都被聯興搶走，目前多為歐美、東南亞ODM性質
目前只有德國Tur Therapietechnik GmbH這間公司有指定Traco Power的料(一年各100-300不等)(電療、超音波治療)
TMR 2-4811E電療、TES 2-0511H超音波
A/D目前有用MIXMAX，用給聯興RACM60-24SK可直接替代。
因為剛好年底~26/1月會談明年新的系列機種，會直接給我RECOM的產品型號(有用MOUSER買過) MOQ都訂100
預計26Q1會較明確。</t>
    <phoneticPr fontId="1" type="noConversion"/>
  </si>
  <si>
    <t>RD郭S</t>
    <phoneticPr fontId="1" type="noConversion"/>
  </si>
  <si>
    <t>目前都還是做48V-60V的Battery Pack，還沒有聽說有開始設計高壓的產品。
因為無法與Ray碰面，同事都不太清楚狀況，需再跟Ray電話討論。
確認案子需求後再聯絡採購副理Peggy
北部汐止這邊RD都離職了，現在北部只有sales，RD都在高雄。</t>
    <phoneticPr fontId="1" type="noConversion"/>
  </si>
  <si>
    <t xml:space="preserve">150A IGBT目前還有大約40顆，談好從26年1月~6月開始每個月會裝10台新機出去
7月開始預計每個月20台。
200A、300A IGBT提供報價單，會先各下一盒(12pcs)，確認交期後要回復介盟
栓型FRED會直接下300pcs(一年的量)，分一月、六月、九月交各100
MMG150S120B6UC *160 用NT$550買回來，開折讓單，提供公司聲明待盛全簽回。
栓型交期確認、IGBT交期待確認
</t>
    <phoneticPr fontId="1" type="noConversion"/>
  </si>
  <si>
    <t>目前用NELL 2100/2500PT/1600盤式SCR
(品質不穩定，失效率高，後續需求會直接來跟我們詢，月初有來一批，下次下單至少要明年Q2後。)
MOS產品推薦，但興趣不大
Diode目前適用IXYS DSEI60-06A ( 已停產，以前的庫存還剩約5K，預計用的差不多才會下單)</t>
    <phoneticPr fontId="1" type="noConversion"/>
  </si>
  <si>
    <t>目前EK60、EK110測試沒問題，討論後先下小批量各100pcs，Discrete會再下600pcs，EK160因為用的較少，預計要12月才會測到。
12/20後不收貨，交期要喬明年一月底</t>
    <phoneticPr fontId="1" type="noConversion"/>
  </si>
  <si>
    <t>MMG100S120B6UC交期延後至2月底
MMG150S120B6UC談完價格NT730 會把盛全160pcs全部拿完
MOS一樣10顆
MM40G3U65B*3pcs 提供Sample測試</t>
    <phoneticPr fontId="1" type="noConversion"/>
  </si>
  <si>
    <t>IGBT堅持用三菱說什麼都不願意更換，且空間有限FRED也無法變更尺寸，提供500A FRED方案覺得價格真的太高，目標價NT500願意買來試，目前明洋沒有其他解決方案。</t>
    <phoneticPr fontId="1" type="noConversion"/>
  </si>
  <si>
    <t>採購 梁S</t>
    <phoneticPr fontId="1" type="noConversion"/>
  </si>
  <si>
    <t>過去的舊案子，庫存剛好差一顆，實際案子細節要問REN，要求拿一盒5pcs，價格650--&gt;730，後續數量要看客戶訂單，無法預測。</t>
    <phoneticPr fontId="1" type="noConversion"/>
  </si>
  <si>
    <t>RD 江R</t>
    <phoneticPr fontId="1" type="noConversion"/>
  </si>
  <si>
    <t>採購 吳宜臻</t>
    <phoneticPr fontId="1" type="noConversion"/>
  </si>
  <si>
    <t>詢MMD110A160B，詢問訂單細節，只知道是儲能謝R那邊請她問一下，也還沒有明確要下單，需再跟謝R確認</t>
    <phoneticPr fontId="1" type="noConversion"/>
  </si>
  <si>
    <t xml:space="preserve">Delta </t>
    <phoneticPr fontId="1" type="noConversion"/>
  </si>
  <si>
    <t>Yumin</t>
    <phoneticPr fontId="1" type="noConversion"/>
  </si>
  <si>
    <t>二次側MM100G5T65B測試OK，目前年用量抓18K，其他家都1.5USD左右
一次側選用MS80N65ICC0目前有我們跟ROHM、IXYS目前還有一些設計的問題，現在我們的跟ROHM、IXYS當加載到300A都有溫度過高的狀況，目前福峰正再處理線路設計，年用量36K，待報價。
一次側IGBT MM75G5U65BX 希望原廠能夠提供說明確認頻率能夠到50KHZ，不然也不敢用，而且就測完OK要跟安川推薦時也很難被採納。</t>
    <phoneticPr fontId="1" type="noConversion"/>
  </si>
  <si>
    <t>前陣子比較忙規格書今天才會找時間確認一下，周一再確認看看碰面時間。</t>
    <phoneticPr fontId="1" type="noConversion"/>
  </si>
  <si>
    <t>在實驗室，請我周二再連絡確認一下時間，暫約周五上午碰面，確認IGBT Module 需求與生意狀況、追蹤MM40G3U120BX後續</t>
    <phoneticPr fontId="1" type="noConversion"/>
  </si>
  <si>
    <t>詢問RYK方案規格確認，但輸出PIN腳腳位不同，仍需確認舊版RY系列的報價，下周再致電確認清楚DC/DC這顆的使用狀況與PIN腳封裝要求。</t>
    <phoneticPr fontId="1" type="noConversion"/>
  </si>
  <si>
    <t>RD 吳副理</t>
    <phoneticPr fontId="1" type="noConversion"/>
  </si>
  <si>
    <t>要求提供目前DCDC產品型號，預計本周提供</t>
    <phoneticPr fontId="1" type="noConversion"/>
  </si>
  <si>
    <t>要求提供AC/DC、DC/DC 產品型號，預計下周五前提供</t>
    <phoneticPr fontId="1" type="noConversion"/>
  </si>
  <si>
    <t>W49</t>
    <phoneticPr fontId="1" type="noConversion"/>
  </si>
  <si>
    <t>李R、鄭R</t>
    <phoneticPr fontId="1" type="noConversion"/>
  </si>
  <si>
    <t>關係維護，目前台鐵預計26Q1開案，針對彰化、宜蘭、花蓮段充電機+Inverter進行設備更新，預計共會有1~200台的量。
待標案明確後會再下單IGBT。
目前SCR李R還是一直逃避不願意動，先定時追蹤IGBT的案子，再找鄭R先買個幾顆小量測試，若測試順利再找李R談看看。</t>
    <phoneticPr fontId="1" type="noConversion"/>
  </si>
  <si>
    <t>採購 鍾S</t>
    <phoneticPr fontId="1" type="noConversion"/>
  </si>
  <si>
    <t>目前主要還是盤式的產品，RECOM的東西比較偏向客製設計實用到，再約RD碰一次面討論看看有沒有其他的交集點可以談。</t>
    <phoneticPr fontId="1" type="noConversion"/>
  </si>
  <si>
    <t>獅門200A/300A 各下12pcs測試，栓型FRED預計這兩周會下明年整年的用量分三次交，IGBT預計12月會再排明年的訂單。</t>
    <phoneticPr fontId="1" type="noConversion"/>
  </si>
  <si>
    <t>RD Jeff</t>
    <phoneticPr fontId="1" type="noConversion"/>
  </si>
  <si>
    <t>盧S會議中，詢問DCDC相關問題都不清楚，請我找盧S。</t>
    <phoneticPr fontId="1" type="noConversion"/>
  </si>
  <si>
    <t>目前5-7KW (用MMG100S120B6UC) 訂單排到明年中了，MM40G3U120BX的研發案擱置鍾，先處理訂單，後續持續研發的時間無法掌握。
預計26年Q2左右，IGBT還會有2-300pcs需求。
介紹RECOM產品，目前的案子沒什麼用到，請我發一 下幾本介紹，約12月初碰面。</t>
    <phoneticPr fontId="1" type="noConversion"/>
  </si>
  <si>
    <t>近期忙生產，排不出時間，約12月W2來討論SiC跟FRED。</t>
    <phoneticPr fontId="1" type="noConversion"/>
  </si>
  <si>
    <t>目前AC Fuse使用狀況
Hinode  : 660GHX125、660GH100  (一年大約2-300)
Bussman : 16A、25A 最多(一年2-3000)，一路到350A都有用
有分240V/660V都有買。
Hollyland只有100A/690V一款產品。
目前100A 的總用量約400-500/年
125A總用量150-200/年</t>
    <phoneticPr fontId="1" type="noConversion"/>
  </si>
  <si>
    <t>陳經理</t>
    <phoneticPr fontId="1" type="noConversion"/>
  </si>
  <si>
    <t>盤式SCR維修，目前DC Motor Drive都是直接買現成的，裡面都是裝Infineon的產品，目前有DCR1700X24*6pcs、DCR960G18*6pcs維修需求，希望盡快，請我提供報價與交期，目前先確認是否有現貨，再將空運價格直接攤在價格上。</t>
    <phoneticPr fontId="1" type="noConversion"/>
  </si>
  <si>
    <t>目前100A、450A IGBT因為獅門的失效問題還是希望有個明確的說明跟改善方式才有機會再買來繼續測試。
Fuse的部分說10多年前HIITIO就有來推過，主要是因為沒有Fuse座的關係，所以多用Bussman。</t>
    <phoneticPr fontId="1" type="noConversion"/>
  </si>
  <si>
    <t>洪經理</t>
    <phoneticPr fontId="1" type="noConversion"/>
  </si>
  <si>
    <t>洪經理這邊是負責車站內、變電所的部分，會用到100W A/D --&gt;24V
但不需要認證，除非有抗突波能力較強或是一些特殊的產品可以發過來看看，不然都是用明偉的，除非真的比較便宜不然更換可能性很低，請我去找新莊廠號誌部-張榮志R #2373。</t>
    <phoneticPr fontId="1" type="noConversion"/>
  </si>
  <si>
    <t>RD 張榮志</t>
    <phoneticPr fontId="1" type="noConversion"/>
  </si>
  <si>
    <t>本週國外出差，要下周才會進公司。</t>
    <phoneticPr fontId="1" type="noConversion"/>
  </si>
  <si>
    <t>RD 王課長</t>
    <phoneticPr fontId="1" type="noConversion"/>
  </si>
  <si>
    <t>目前RECOM產品因為通訊功能設計中，預計要年底才有可能組完整機，目前控制採用BJT+Power Relay的形式(Relay 用TAKAMISAWA  1A/24V Relay)，後續硬體有可能會換MOS，推薦(20A/500V) ，說會幫忙跟負責這個部分的RD討論一下，如果有用MOS的打算就再安排個碰面討論。</t>
    <phoneticPr fontId="1" type="noConversion"/>
  </si>
  <si>
    <t>採購說目前MM40G3U65B後續會換成Module，但目前生產需求還是會先下3K，請我提供MOQ、MPQ。
目前Module只知道RD有找到替代產品，規格跟品還不清楚。
今日在提供一次報價給採購，並另發一封mail跟RD約時間碰面談後續Module的東西。
Peter_liu@troy.com.tw</t>
    <phoneticPr fontId="1" type="noConversion"/>
  </si>
  <si>
    <t>RD劉R</t>
    <phoneticPr fontId="1" type="noConversion"/>
  </si>
  <si>
    <t>沒接，發Mail</t>
    <phoneticPr fontId="1" type="noConversion"/>
  </si>
  <si>
    <t>目前手邊的案子會轉交給Jeff，會請Jeff提供一個規格讓我確認封裝與提供產品方案及報價。
目前使用CTC的MSR-0505(非穩壓型D/D)，跟RY系列PIN to PIN，今日提供RY系列報價。</t>
    <phoneticPr fontId="1" type="noConversion"/>
  </si>
  <si>
    <t>採購Andy</t>
    <phoneticPr fontId="1" type="noConversion"/>
  </si>
  <si>
    <t>目前都是做40-80KW為主的充電樁，電源模組包含Relay、Fuse都是整個從大陸搬標準模組回台貼MSI的牌子去賣，所以不會直接買到HVDC RELAY、FUSE，雖然目前還是有在研發，但時間可能就會拉到26年Q2，小的Power Relay是用宏發，和誠的東西可能就會先以維修料來做討論，並同時跟研發打好關係，預計26年Q1再來約時間碰面，MSI的DC樁預計也是26年Q1量產，會以私人停車場、社區、公司等消飛行市場為比較主要的目標。</t>
    <phoneticPr fontId="1" type="noConversion"/>
  </si>
  <si>
    <t>YUMIN</t>
    <phoneticPr fontId="1" type="noConversion"/>
  </si>
  <si>
    <t>電話確認碰面時間，目前不方便電話請我發信，會再回我。</t>
    <phoneticPr fontId="1" type="noConversion"/>
  </si>
  <si>
    <t>民倉</t>
    <phoneticPr fontId="1" type="noConversion"/>
  </si>
  <si>
    <t>客戶需求MMD100EB160X*6，只有特定客戶會買，1~2年才會下個5、6顆，難以要求MOQ直接買一盒，直接提供報價</t>
    <phoneticPr fontId="1" type="noConversion"/>
  </si>
  <si>
    <t>電話中，稍後再打</t>
    <phoneticPr fontId="1" type="noConversion"/>
  </si>
  <si>
    <t>RD都在會議中，請我明天再撥</t>
    <phoneticPr fontId="1" type="noConversion"/>
  </si>
  <si>
    <t>目前被雃博合併了，已經有跟雃博的採購約好，目前就以雃博的方案為主，其他不願多說。</t>
    <phoneticPr fontId="1" type="noConversion"/>
  </si>
  <si>
    <t>RD Evan</t>
    <phoneticPr fontId="1" type="noConversion"/>
  </si>
  <si>
    <t>推薦RECOM DC/DC，目前都用MOS自己做，現在元件都拿陸品，目前沒有特別需求，要求碰面交流，年底比較忙可能要等明年Q1再來約。</t>
    <phoneticPr fontId="1" type="noConversion"/>
  </si>
  <si>
    <t>RD 李R</t>
    <phoneticPr fontId="1" type="noConversion"/>
  </si>
  <si>
    <t>目前EG150、400由於三菱庫存水位較高，老闆希望真的要小批量等農曆年後再下單，接近年底也沒有什麼新的訂單要出，真的有要出貨都會壓在3、4月。
另外200A、300A IGBT規格看起來OK，請我提供一下報價，會各買一盒去試。</t>
    <phoneticPr fontId="1" type="noConversion"/>
  </si>
  <si>
    <t>MM40G3U65B下單，目前已經在跑簽呈，另外說有另外一個部門的RD也想試這顆，想另外買20pcs，跟RD劉R約下周三上午1030碰面。</t>
    <phoneticPr fontId="1" type="noConversion"/>
  </si>
  <si>
    <t>愷得醫材(呼吸治療)</t>
    <phoneticPr fontId="1" type="noConversion"/>
  </si>
  <si>
    <t>現在只做醫材，沒有在做設備了，無需求。</t>
    <phoneticPr fontId="1" type="noConversion"/>
  </si>
  <si>
    <t>光星(輔具)</t>
    <phoneticPr fontId="1" type="noConversion"/>
  </si>
  <si>
    <t>業務部</t>
    <phoneticPr fontId="1" type="noConversion"/>
  </si>
  <si>
    <t>客戶會提供Power、電池，只負責組裝。</t>
    <phoneticPr fontId="1" type="noConversion"/>
  </si>
  <si>
    <t>確認明日約訪時間，明日碰面介紹RECOM DC/DC Converter、和誠Relay、Fuse方案與高壓 1500V MOS介紹。</t>
    <phoneticPr fontId="1" type="noConversion"/>
  </si>
  <si>
    <t>總機沒人</t>
    <phoneticPr fontId="1" type="noConversion"/>
  </si>
  <si>
    <t>會議中，周五上午聯絡</t>
    <phoneticPr fontId="1" type="noConversion"/>
  </si>
  <si>
    <t>確認EK60、EK110測試狀況，預計12月會下小批量的訂單。
AC Fuse的部份說要再去確認一下再跟我說。
EK160要接近年底才會試，頂多就200pcs/年
還是以40A為主。</t>
    <phoneticPr fontId="1" type="noConversion"/>
  </si>
  <si>
    <t>目前主要只有用DCDC，會再去看看目前用的規格跟我說，先確認產品規格後再約時間碰面。</t>
    <phoneticPr fontId="1" type="noConversion"/>
  </si>
  <si>
    <t>Brian</t>
    <phoneticPr fontId="1" type="noConversion"/>
  </si>
  <si>
    <t>抱怨當初樣品和時間拖很長，如果要再次配合也可以，只是合作方式、交貨方式就要先討論好。
除了當初推的Module之外，近期我們有什麼其他的產品線請我發個郵件跟他先初步介紹一下，目前對於SiC的東西會比較有興趣，先發介紹過去，會再跟我提他會比較需要的規格及產品。
先將交台灣、交大陸兩個部分分別跟他討論出一個合作方式後可以來約時間碰面，預計一月多比較方便。</t>
    <phoneticPr fontId="1" type="noConversion"/>
  </si>
  <si>
    <t>業務經理 關R</t>
    <phoneticPr fontId="1" type="noConversion"/>
  </si>
  <si>
    <t>只說會再跟RD問問看，不願意協助轉接與回覆碰面時間</t>
    <phoneticPr fontId="1" type="noConversion"/>
  </si>
  <si>
    <t>RD會議中，請我明天再撥看看</t>
    <phoneticPr fontId="1" type="noConversion"/>
  </si>
  <si>
    <t>RD 蕭R</t>
    <phoneticPr fontId="1" type="noConversion"/>
  </si>
  <si>
    <t>之前傳盤式跟SiC的郵件都沒什麼時間看，這兩天再找時間看一下，不過下禮拜要出差，如果要約碰面再請我先發個郵件，確認一下時間再回覆我。</t>
    <phoneticPr fontId="1" type="noConversion"/>
  </si>
  <si>
    <t>過去用Nell的產品，但後續都改成國產的產品，品牌不確定，目前會議中，請我先跟採購廖S確認一下規格，看有沒有相應的產品有想要推薦，如果真的要約12月中左右才會比較有時間。</t>
    <phoneticPr fontId="1" type="noConversion"/>
  </si>
  <si>
    <t>一樣只是打哈哈，說之後會來詢價，問Relay、Fuse、DCDC都說沒有用到，過陣子再試試看，不打算浪費太多時間。</t>
    <phoneticPr fontId="1" type="noConversion"/>
  </si>
  <si>
    <t>目前庫存一堆，生意不是很好，目前沒有意願碰面，不願多說</t>
    <phoneticPr fontId="1" type="noConversion"/>
  </si>
  <si>
    <t>RD BEN</t>
    <phoneticPr fontId="1" type="noConversion"/>
  </si>
  <si>
    <t>RD Kevin</t>
    <phoneticPr fontId="1" type="noConversion"/>
  </si>
  <si>
    <t>目前300kw DC  source案子有需求，用MMD240S160B/ IXYS  MDD172-16N1 (190A / 1600V )+MMG400S120B6HN+MMF400S120U，這個案子量較少
提供近期在做50KW、100KW的IGBT、SiC、MOS等產品料號。
由於近期開始有cost down打算，也請我提供對應的產品方案，約下周碰面討論。</t>
    <phoneticPr fontId="1" type="noConversion"/>
  </si>
  <si>
    <t>FRED整機已經去泰國了，在場內側一週沒問題，預計後面訂單在26年Q1才會再下，具體數量要等到一月份客戶需求出來才會比較明確。</t>
    <phoneticPr fontId="1" type="noConversion"/>
  </si>
  <si>
    <t>實名制無法協助轉接</t>
    <phoneticPr fontId="1" type="noConversion"/>
  </si>
  <si>
    <t>加百裕</t>
    <phoneticPr fontId="1" type="noConversion"/>
  </si>
  <si>
    <t>總機不願協助轉接</t>
    <phoneticPr fontId="1" type="noConversion"/>
  </si>
  <si>
    <t>達方</t>
    <phoneticPr fontId="1" type="noConversion"/>
  </si>
  <si>
    <t>150A IGBT折讓金88000用在明年。</t>
    <phoneticPr fontId="1" type="noConversion"/>
  </si>
  <si>
    <t>杜小姐</t>
    <phoneticPr fontId="1" type="noConversion"/>
  </si>
  <si>
    <t>謝老闆沒連絡上，50A、100A Relay預計是有標案要用，但是具體內容杜小姐不是很確定，下午謝老闆可能會回來，再過去碰面聊一下。</t>
    <phoneticPr fontId="1" type="noConversion"/>
  </si>
  <si>
    <t>晟瑞科技</t>
    <phoneticPr fontId="1" type="noConversion"/>
  </si>
  <si>
    <t>目前RD都在會議中，再找時間打</t>
    <phoneticPr fontId="1" type="noConversion"/>
  </si>
  <si>
    <t>杜小姐、杜R</t>
    <phoneticPr fontId="1" type="noConversion"/>
  </si>
  <si>
    <t>目前Relay是謝R手邊有在考慮要充電機搭接設備去標案，但謝R人不在無法確認細節，目前山府年底都是在做一些產品維修，沒有要出新機。
另固馳SCR包裝外箱問題，產品沒有受損，已請Paul跟物流公司反應。</t>
    <phoneticPr fontId="1" type="noConversion"/>
  </si>
  <si>
    <t xml:space="preserve">目前天宇只有做儲能跟一些小型電池組的代工。
目前A/D 產品需求
RACM-40K  (40W A/D --&gt;24V --&gt;Buck IC --&gt;3.2~4V充電池用
(因為跟電池接觸，最大需要1500V Continue的隔離，在寫信跟RECOM確認) (目前設計中尚未定案) 預計5~6K/年 
REDIIN240 ( 240W A/D --&gt;主要櫃體供電) 預計3~400/年
D/D產品需求
RW2-2405S  (2W  24V--&gt;5V 驅動IC) 預計3~400/年
REC6K-AW / REC6K-RW ( 6W 24V--&gt;正負12V) hall sensor供電，預計3~400/年
目前代工案，詢 1W 5V--5V 穩壓DC/DC SMD封裝 (需要車規) 
初步sample需求200pcs
目前40W A/D跟 車規D/D 先提供報價，因為價格還有變數，其他DINRAIL A/D跟兩款D/D 勢必會用，但等26Q1新案抵定後再來約時間談。
</t>
    <phoneticPr fontId="1" type="noConversion"/>
  </si>
  <si>
    <t>W50</t>
    <phoneticPr fontId="1" type="noConversion"/>
  </si>
  <si>
    <t>國橋</t>
    <phoneticPr fontId="1" type="noConversion"/>
  </si>
  <si>
    <t>要求約下周二下午碰面，周一再確認看看</t>
    <phoneticPr fontId="1" type="noConversion"/>
  </si>
  <si>
    <t>說生意差、庫存多，還是不願意碰面</t>
    <phoneticPr fontId="1" type="noConversion"/>
  </si>
  <si>
    <t>請我去跟採購討論</t>
    <phoneticPr fontId="1" type="noConversion"/>
  </si>
  <si>
    <t>李建德</t>
    <phoneticPr fontId="1" type="noConversion"/>
  </si>
  <si>
    <t>出國不在公司</t>
    <phoneticPr fontId="1" type="noConversion"/>
  </si>
  <si>
    <t>依然沒有意願配合，掛電話</t>
    <phoneticPr fontId="1" type="noConversion"/>
  </si>
  <si>
    <t>目前Relay / MOS方案預計要接近12月底才會有結論，所以最快跟負責RD碰面應該也要第四周比較有機會。</t>
    <phoneticPr fontId="1" type="noConversion"/>
  </si>
  <si>
    <t>約訪市調AC FUSE</t>
    <phoneticPr fontId="1" type="noConversion"/>
  </si>
  <si>
    <t>詢問IGBT26、27年排單，目前正在確認後續訂單，預計12月20左右會確認好</t>
    <phoneticPr fontId="1" type="noConversion"/>
  </si>
  <si>
    <t>約12/12周五，下周需再提前確認一下時間</t>
    <phoneticPr fontId="1" type="noConversion"/>
  </si>
  <si>
    <t>RD外出</t>
    <phoneticPr fontId="1" type="noConversion"/>
  </si>
  <si>
    <t>目前MM40G3U65B為之前RD設計IGBT就沒有改，用在120W~200W產品，未來打算用IPM替代，目前設計選擇日本Sanken DIP40 IPM設計(15A / 650V )，建議直接改EG30W1-065XB PIM，先提供規格。
120W以下以前會用ST 25A TO-220產品，已停產，目前正在找替代方案。</t>
    <phoneticPr fontId="1" type="noConversion"/>
  </si>
  <si>
    <t>採購Wendy</t>
    <phoneticPr fontId="1" type="noConversion"/>
  </si>
  <si>
    <t>業務交接碰面</t>
    <phoneticPr fontId="1" type="noConversion"/>
  </si>
  <si>
    <t>採購Grace</t>
    <phoneticPr fontId="1" type="noConversion"/>
  </si>
  <si>
    <t>目前MOS測試完，MS80免強算過關而已，因為Diode速度太慢，導致跟ROHM相比溫度差了10度。
二次側安川對於100A用TO-247有疑慮，要求福峰更換SOT-227封裝，尚未提供方案，若SOT-227尋料進找不順利，有可能二次側不會改。</t>
    <phoneticPr fontId="1" type="noConversion"/>
  </si>
  <si>
    <t>目前26年新機種的會議預計在聖誕節左右才會舉行，以RD過去經驗來看要到26/1月底新機種的走向才會比較明確，明年再找他談。</t>
    <phoneticPr fontId="1" type="noConversion"/>
  </si>
  <si>
    <t>確認下周二下午時間，討論MOS失效狀況、推薦低壓MOS，並取得12N100小量樣品訂單。</t>
    <phoneticPr fontId="1" type="noConversion"/>
  </si>
  <si>
    <t>RD Kevin Ben</t>
    <phoneticPr fontId="1" type="noConversion"/>
  </si>
  <si>
    <t>目前50、100KW AC Source用Onsemi， MM60G3U65B、MM75G5U65BX規格上都有一些落差，DC Source 推薦E32SML-120K 
目前案子選料都差不多了，頂多2nd Source而已。
Module MMG300D120B6UC測試OK，但Infineon庫存較多，後續也只是2nd Source。
目前沒有痛點，對方也不是很願意對話，先觀察看看，目前無交集，難推進。</t>
    <phoneticPr fontId="1" type="noConversion"/>
  </si>
  <si>
    <t>RD陳R、張興三、採購關S</t>
    <phoneticPr fontId="1" type="noConversion"/>
  </si>
  <si>
    <t>號誌部RD 張榮志</t>
    <phoneticPr fontId="1" type="noConversion"/>
  </si>
  <si>
    <t>號誌部的確會需要用到軌道交通用的DC/DC，但張R都是確認為規格跟需要相關的認證把料丟給邱建民那邊去尋，詢問現在使用的產品規格、品牌，由於人在外面，會再發Mail給我，下周找時間找邱建民介紹一下RECOM產品。</t>
    <phoneticPr fontId="1" type="noConversion"/>
  </si>
  <si>
    <t>RD邱建民</t>
    <phoneticPr fontId="1" type="noConversion"/>
  </si>
  <si>
    <t>目前都還是只有用60V系統BBU，預計26年會設計400V、800V，提供高壓MOS跟SiC 規格參考，並重新提供50A/300V Fuse替代方案。</t>
    <phoneticPr fontId="1" type="noConversion"/>
  </si>
  <si>
    <t>FRED、MOS 用於氣墊床Pump，但Source眾多，目前正在縮減，配合難度高。
Converter 都用A/D，目前希望找醫規品項齊全的廠商，會直接提供目前有在用的產品型號與大概數量給我確認與報價，目前鎖定30W、60W、90W。
用量保守2-3K/年，待報價後預計一月會與負責RD碰面討論規格選型細節。</t>
    <phoneticPr fontId="1" type="noConversion"/>
  </si>
  <si>
    <t>生意不好，MMD100EB160X在24年下了100pcs，預計會用到26年底。   一年只出2-30台而已，無其他生意。</t>
    <phoneticPr fontId="1" type="noConversion"/>
  </si>
  <si>
    <t>追蹤30A、50A、100A 三相整流橋測試狀況，目前在廠內測試都OK，50A、100A在11/20左右有各出2台給客戶，30A近期比較沒有訂單，預計26/1比較有機會出去，約26/03如果都順利會再下小批量。</t>
    <phoneticPr fontId="1" type="noConversion"/>
  </si>
  <si>
    <t>RD蔡R</t>
    <phoneticPr fontId="1" type="noConversion"/>
  </si>
  <si>
    <t>目前都在設計3.5~4KW的電源，用Infineon產品，已經定案目前不會動，Roy離職後MM40G3U65B只用於舊的3KW案子，有測試但沒有交接，沒有後續。
會用Triac 40A / 800V TO-247、TO-3P用於Acin 切換發電機時的調變用，一台1pc，頂多3-500pcs/年，再Mail提供規格。</t>
    <phoneticPr fontId="1" type="noConversion"/>
  </si>
  <si>
    <t>UMA</t>
    <phoneticPr fontId="1" type="noConversion"/>
  </si>
  <si>
    <t>針對80萬保證金有疑慮，希望提供書面合約</t>
    <phoneticPr fontId="1" type="noConversion"/>
  </si>
  <si>
    <t>協調12N100*200pcs訂單，最多只接受以1/3價格購買</t>
    <phoneticPr fontId="1" type="noConversion"/>
  </si>
  <si>
    <t>找SanRex DWR40A30替代料，需求5pcs</t>
    <phoneticPr fontId="1" type="noConversion"/>
  </si>
  <si>
    <t>確認RACM40隔離電壓需求原因，220VAC in --&gt;A/D--&gt;24VDC--&gt;D/D(無隔離)--&gt;5V--&gt;充電池
由於電池串最大可能會到1500V，且D/D沒有隔離能力，所以A/D會需要在充電期間具備1500VDC的隔離能力，所以會需要Continue的隔離能力，再跟RECOM確認一下。</t>
    <phoneticPr fontId="1" type="noConversion"/>
  </si>
  <si>
    <t>MMG75S120B6UC最後一批只交到26/01，預計最晚一月前提供明年年單，預計一年200pcs</t>
    <phoneticPr fontId="1" type="noConversion"/>
  </si>
  <si>
    <t>目前30KW、60KW PV Inverter架構都一樣，PFC都是MM40G3U120BX*6+MM30FU120B*6，逆變MM60G3U65B*18+MM40G3U120BX*18，30KW自然風冷，60KW會加風扇。
目前在等12月底機構箱體回來才有辦法做溫昇測試。
目前預計26年Q2才會驗證結束，與日晟競爭，持續保持追蹤。</t>
    <phoneticPr fontId="1" type="noConversion"/>
  </si>
  <si>
    <t>號誌部張經理</t>
    <phoneticPr fontId="1" type="noConversion"/>
  </si>
  <si>
    <t>號誌部偏向業務單位，單純只是用軌道旁充電機搭配號誌燈(類似紅綠燈)，只會需要一顆24V--&gt;12V DC/DC 用於LED驅動。
車站的號誌會直接吃Inverter的AC電。
目前是用明緯，只有整機有軌道交通認證要求，估計沒戲。</t>
    <phoneticPr fontId="1" type="noConversion"/>
  </si>
  <si>
    <t>針對80萬保證金希望能每年年底退回，隔年重新支付。
針對Forecast提供2018-2025每年IGBT交貨數量給劉R，請他給一個未來比較實際的Forecast。</t>
    <phoneticPr fontId="1" type="noConversion"/>
  </si>
  <si>
    <t>已經有先看過SiC Module跟FRED的規格書，約下周二上午1030碰面談這兩顆。</t>
    <phoneticPr fontId="1" type="noConversion"/>
  </si>
  <si>
    <t>明耀</t>
    <phoneticPr fontId="1" type="noConversion"/>
  </si>
  <si>
    <t>何岳聰Jeff</t>
  </si>
  <si>
    <t>今天不在公司</t>
    <phoneticPr fontId="1" type="noConversion"/>
  </si>
  <si>
    <t>Hinode 用100-200A 
Bussman 從35A-80A、250A-600A
目前有在用一間美蒂(大陸品牌)100A Fuse想要替代Hinode
如果我們有方案他也有興趣討論看看。</t>
    <phoneticPr fontId="1" type="noConversion"/>
  </si>
  <si>
    <t>EMU500充電機案，強森在SKKT323價格降價到跟EIT及NELL差不多，沒有意外SCR大約8成會給強森，週二看標案狀況提供降價後MOQ報價。</t>
    <phoneticPr fontId="1" type="noConversion"/>
  </si>
  <si>
    <t>請假到12/24</t>
    <phoneticPr fontId="1" type="noConversion"/>
  </si>
  <si>
    <t>採購歐S</t>
    <phoneticPr fontId="1" type="noConversion"/>
  </si>
  <si>
    <t>週二下午碰面</t>
    <phoneticPr fontId="1" type="noConversion"/>
  </si>
  <si>
    <t>下周都不在公司，碰面約12/23，業務交接認識</t>
    <phoneticPr fontId="1" type="noConversion"/>
  </si>
  <si>
    <t>台灣百科精密儀器</t>
    <phoneticPr fontId="1" type="noConversion"/>
  </si>
  <si>
    <t>採購吳振寧Allen</t>
    <phoneticPr fontId="1" type="noConversion"/>
  </si>
  <si>
    <t xml:space="preserve">RD全部不對外，和誠的800A/1500V、150A/1000V都只是用來做幾個治具實驗而已，沒有量也不會固定買，目前所有的半導體都是用IXYS、INFINEON等大品牌，Converter 用TI、ADT，不願接受其他廠商拜訪，除非RD新開案自己尋料再丟給採購，不然沒什麼機會。 </t>
    <phoneticPr fontId="1" type="noConversion"/>
  </si>
  <si>
    <t>松川精密</t>
  </si>
  <si>
    <t xml:space="preserve">王建珽  Jay </t>
  </si>
  <si>
    <t>明曜科技</t>
  </si>
  <si>
    <t>認為我們不給免費樣品，覺得不好配合，其他家都有直接送，目前會先測東晶的產品。</t>
    <phoneticPr fontId="1" type="noConversion"/>
  </si>
  <si>
    <t>AC Fuse市場調查</t>
    <phoneticPr fontId="1" type="noConversion"/>
  </si>
  <si>
    <t>W52</t>
    <phoneticPr fontId="1" type="noConversion"/>
  </si>
  <si>
    <t>追蹤目前CO2焊機狀況，上在設計中，目前預計26年後會完成設計，250A SCR 農曆年後比較有機會再下單，近期工作比較集中在工程上。</t>
    <phoneticPr fontId="1" type="noConversion"/>
  </si>
  <si>
    <t>Fuse 目前Hinode用100A~200A ，100A 是I2t數值的關係，125A~200A是因為其他佳沒有這個封裝。
希望細聊I2t的選擇，手邊有事情沒太多時間請我下周再找時間打給他。</t>
    <phoneticPr fontId="1" type="noConversion"/>
  </si>
  <si>
    <t>詢價單依然推託，年底較忙不願碰面，一月再約</t>
    <phoneticPr fontId="1" type="noConversion"/>
  </si>
  <si>
    <t>約碰面討論12A/1000V、12A/1500V MOS，待失效報告出來後再約時間一起討論。</t>
    <phoneticPr fontId="1" type="noConversion"/>
  </si>
  <si>
    <t>暫約下周五，碰面討論後續SCR的測試、下單及Fuse市調</t>
    <phoneticPr fontId="1" type="noConversion"/>
  </si>
  <si>
    <t>SiC都用Infineon 62mm寬 300A / 1200V、1700V Module (1-200/年)
FRED 由於MMF跟IXYS DESI2*101封裝尺寸不同，提供Maspower EST100BN120SN ( 100A / 1200V ) 年用量1K，待1700V SiC Module規格書取得後一起報價
另請我報RECOM R12P22005D ( 12VDCin --&gt; -5/+20VDCout )  2W D/D SiC Driver用，一台4pcs (全橋SiC 各一顆) 預估用量800pcs/年，現用Murata，待吳經理提供型號。</t>
    <phoneticPr fontId="1" type="noConversion"/>
  </si>
  <si>
    <t>Fuse 主要用Bussman 50A、80A  NT$55，100A NT$65  (約1-200/年)
Hinode只有用GHX125  跟千暘拿，價格NT$200左右 (200/年)
目前生意狀況都有一單沒一單，也不太敢備庫存，給Julia定期維繫。</t>
    <phoneticPr fontId="1" type="noConversion"/>
  </si>
  <si>
    <t>SCR近期訂單都下了，接下來要農曆年後才有可能再下單，Fuse只用Bussman 30A、60A、80A，無其他規格與明顯痛點。</t>
    <phoneticPr fontId="1" type="noConversion"/>
  </si>
  <si>
    <t>蔡課長</t>
    <phoneticPr fontId="1" type="noConversion"/>
  </si>
  <si>
    <t>想設計小台一點50A 的點翰積作為2026年Q3推出的新機種，目前想用IXYS SOT-227單顆裝100A SCR*2+ 60A SOT-227 FRED *2做設計，預估大約100台/年，尚未提供方案</t>
    <phoneticPr fontId="1" type="noConversion"/>
  </si>
  <si>
    <t>RD 胡R</t>
    <phoneticPr fontId="1" type="noConversion"/>
  </si>
  <si>
    <t xml:space="preserve">目前設計Battery Rack 、電池UPS比較多，RELAY目前都用TDK帶hole sensor的產品( 正負極各一顆500A / 1200V ，Precharge 一顆250A / 1200V Relay) 
TDK產品規格書待提供，後續會以2nd Source先提供合適的對應方案，再等待新案導入機會。
輔電用明緯A/D 60W、90W 轉24VDC ，已發信要求提供明緯料號提供對應方案與報價，用量約1K/年 </t>
    <phoneticPr fontId="1" type="noConversion"/>
  </si>
  <si>
    <t>王老闆</t>
    <phoneticPr fontId="1" type="noConversion"/>
  </si>
  <si>
    <t>業務交接，預估26年鑽孔機的量約3K
提供500W A/D 轉24V方案做未來案子設計評估
詢15A  / 600V、1200V PIM 方案 ，再提供規格書跟報價</t>
    <phoneticPr fontId="1" type="noConversion"/>
  </si>
  <si>
    <t>台灣百科</t>
    <phoneticPr fontId="1" type="noConversion"/>
  </si>
  <si>
    <t>採購Allen</t>
    <phoneticPr fontId="1" type="noConversion"/>
  </si>
  <si>
    <t>詢HIITIO HCF150/1000-24C1H、HCF800B/1500-24HC5Z各1PCS
已提供報價，細節約12/23下五14:00與採購碰面討論。
已完成供應商資料建立，近期生管會下單</t>
    <phoneticPr fontId="1" type="noConversion"/>
  </si>
  <si>
    <t>RD JEFF</t>
    <phoneticPr fontId="1" type="noConversion"/>
  </si>
  <si>
    <t>目前RECOM DCDC 公司討論中，較為傾向用新板RYK0505S，預計1月中會有定案，再追蹤會用哪顆D/D。</t>
    <phoneticPr fontId="1" type="noConversion"/>
  </si>
  <si>
    <t>詢無錫利普斯 SiC Module ，目前只知道幫客戶代工會用到這顆，但停產要尋替代方案，本周先連絡方經理確認案件細節後再決定要不要弄。</t>
    <phoneticPr fontId="1" type="noConversion"/>
  </si>
  <si>
    <t>W53</t>
    <phoneticPr fontId="1" type="noConversion"/>
  </si>
  <si>
    <t>採購Alva</t>
    <phoneticPr fontId="1" type="noConversion"/>
  </si>
  <si>
    <t>原定一月底交IGBT*6K，協調安排空運，提前至一月初發貨，新代出運費</t>
    <phoneticPr fontId="1" type="noConversion"/>
  </si>
  <si>
    <t>EK330*600訂單，26年Q2交</t>
    <phoneticPr fontId="1" type="noConversion"/>
  </si>
  <si>
    <t>採購鐘S</t>
    <phoneticPr fontId="1" type="noConversion"/>
  </si>
  <si>
    <t>協調交貨事宜</t>
    <phoneticPr fontId="1" type="noConversion"/>
  </si>
  <si>
    <t>世琦</t>
    <phoneticPr fontId="1" type="noConversion"/>
  </si>
  <si>
    <t>涂老闆</t>
    <phoneticPr fontId="1" type="noConversion"/>
  </si>
  <si>
    <t>維修料訂單，Julia處理</t>
    <phoneticPr fontId="1" type="noConversion"/>
  </si>
  <si>
    <t>黃處長</t>
    <phoneticPr fontId="1" type="noConversion"/>
  </si>
  <si>
    <t>溝通組件提前至Q1交貨，溝通失敗，不願提前</t>
    <phoneticPr fontId="1" type="noConversion"/>
  </si>
  <si>
    <t>採購UMA</t>
    <phoneticPr fontId="1" type="noConversion"/>
  </si>
  <si>
    <t>處理保證金合約</t>
    <phoneticPr fontId="1" type="noConversion"/>
  </si>
  <si>
    <t>天目時科</t>
    <phoneticPr fontId="1" type="noConversion"/>
  </si>
  <si>
    <t>陳鉅宗</t>
    <phoneticPr fontId="1" type="noConversion"/>
  </si>
  <si>
    <t>詢價MMD110A160B、另尋DK線路二極體，做伺服馬達驅動防逆用，各5pcs</t>
    <phoneticPr fontId="1" type="noConversion"/>
  </si>
  <si>
    <t>運泰</t>
    <phoneticPr fontId="1" type="noConversion"/>
  </si>
  <si>
    <t>詢MMK200S160B，請Julia協助處理</t>
    <phoneticPr fontId="1" type="noConversion"/>
  </si>
  <si>
    <t>MM15FU120K議價，問競爭狀況、議價原因等問題都不願透漏，在狀況沒有明確前不回應議價的事情。
另Xiner 75A / 650V IGBT找替代方案，希望改SiC，再跟研五確認</t>
    <phoneticPr fontId="1" type="noConversion"/>
  </si>
  <si>
    <t>研五RD 劉祐廷</t>
    <phoneticPr fontId="1" type="noConversion"/>
  </si>
  <si>
    <t>研五RD 李經理</t>
    <phoneticPr fontId="1" type="noConversion"/>
  </si>
  <si>
    <t>目前Xiner IGBT用於3-6KW，買US 2，想找30mohm TO-247-3L 方案 ，今天會先提供規格書，再跟劉R、李經理約時間碰面。</t>
    <phoneticPr fontId="1" type="noConversion"/>
  </si>
  <si>
    <t>RD韓R</t>
    <phoneticPr fontId="1" type="noConversion"/>
  </si>
  <si>
    <t>Delta EIS</t>
    <phoneticPr fontId="1" type="noConversion"/>
  </si>
  <si>
    <t>碰面時間協調更改與確認</t>
    <phoneticPr fontId="1" type="noConversion"/>
  </si>
  <si>
    <t>Delta EV</t>
    <phoneticPr fontId="1" type="noConversion"/>
  </si>
  <si>
    <t>劉政諺</t>
  </si>
  <si>
    <t>分機沒接</t>
    <phoneticPr fontId="1" type="noConversion"/>
  </si>
  <si>
    <t>柯俊宏</t>
  </si>
  <si>
    <t>柯建名</t>
  </si>
  <si>
    <t>總機轉接沒接</t>
    <phoneticPr fontId="1" type="noConversion"/>
  </si>
  <si>
    <t>W54</t>
    <phoneticPr fontId="1" type="noConversion"/>
  </si>
  <si>
    <t>協調因銅價調整EK330及EK600訂單，EK330目前已經下了1100顆，大概是到26年Q2，預計要接近26年中旬才會再下，EK600本周會再下100顆給我們。</t>
    <phoneticPr fontId="1" type="noConversion"/>
  </si>
  <si>
    <t>說現在不負責研發的部分，提供另一位Vic吳先生，請我直接跟他聯絡</t>
    <phoneticPr fontId="1" type="noConversion"/>
  </si>
  <si>
    <t>Vic</t>
    <phoneticPr fontId="1" type="noConversion"/>
  </si>
  <si>
    <t>輝能</t>
    <phoneticPr fontId="1" type="noConversion"/>
  </si>
  <si>
    <t>趙星智</t>
    <phoneticPr fontId="1" type="noConversion"/>
  </si>
  <si>
    <t>侯琇凡</t>
    <phoneticPr fontId="1" type="noConversion"/>
  </si>
  <si>
    <t>李証智</t>
    <phoneticPr fontId="1" type="noConversion"/>
  </si>
  <si>
    <t>採購張S</t>
    <phoneticPr fontId="1" type="noConversion"/>
  </si>
  <si>
    <t>發票協調</t>
    <phoneticPr fontId="1" type="noConversion"/>
  </si>
  <si>
    <t>MOS未打標，本週提供郵件說明，若正常使用且確定為MOS損壞的話還是一樣會讓他換貨，後續會直接打原料號</t>
    <phoneticPr fontId="1" type="noConversion"/>
  </si>
  <si>
    <t>HIITIO介紹，本週填寫供應商相關資料與提供常用替代YM Relay報價</t>
    <phoneticPr fontId="1" type="noConversion"/>
  </si>
  <si>
    <t>黃俊鑫</t>
    <phoneticPr fontId="1" type="noConversion"/>
  </si>
  <si>
    <t>Source治具需求  實際1A/2200VDC，目前方案有HF 40A / 2500V，本週提供HIITIO方案與報價</t>
    <phoneticPr fontId="1" type="noConversion"/>
  </si>
  <si>
    <t>EK250下單100pcs，後續牌單等新的焊機狀況再決定要排多少，栓型EK350剛裝上去測看看。</t>
    <phoneticPr fontId="1" type="noConversion"/>
  </si>
  <si>
    <t>W2</t>
    <phoneticPr fontId="1" type="noConversion"/>
  </si>
  <si>
    <t>台積電其他廠有提出來可能有銅條需求，因最近銅價上漲所以來重新詢價，但目前案子狀況還不明確</t>
    <phoneticPr fontId="1" type="noConversion"/>
  </si>
  <si>
    <t>追MMD110A160B 後續排單，目前還沒有收到要下單的通知，去幫忙追一下。</t>
    <phoneticPr fontId="1" type="noConversion"/>
  </si>
  <si>
    <t>新案剛開始，東晶的這週才要開始測，約週三討論失效報告、新案狀況、12N150樣品*10pcs</t>
    <phoneticPr fontId="1" type="noConversion"/>
  </si>
  <si>
    <t>要農曆年後才有機會碰面，整流橋說其他家有比我們便宜的，但什麼資訊都不透漏，有約到碰面再跟她談看看，沒有資訊不打算主動調整價格</t>
    <phoneticPr fontId="1" type="noConversion"/>
  </si>
  <si>
    <t>DELTA EISBG</t>
    <phoneticPr fontId="1" type="noConversion"/>
  </si>
  <si>
    <t>RD黃俊鑫</t>
    <phoneticPr fontId="1" type="noConversion"/>
  </si>
  <si>
    <t>先提供HCF50/2500-24HC1H(需要輔助接點)規格書，尚未提供報價</t>
    <phoneticPr fontId="1" type="noConversion"/>
  </si>
  <si>
    <t>MM40G3U65B 協調2pcs樣品月底再補給他</t>
    <phoneticPr fontId="1" type="noConversion"/>
  </si>
  <si>
    <t>余老闆</t>
    <phoneticPr fontId="1" type="noConversion"/>
  </si>
  <si>
    <t>年度預測預計要1月底左右，目前固緯的預測都非常保守，大概60K/年，明顯跟預期有大幅落差
目前庫存還有36K，26年的10K安排2月拿進來，3/5發貨</t>
    <phoneticPr fontId="1" type="noConversion"/>
  </si>
  <si>
    <t>200A、300A IGBT溫升表現沒有150A的好，請介盟大概紀錄一下獅門的IGBT跟三菱12NF、13T在實操下的一些差異。
另外催他下150A IGBT，沒有給直接回覆
請我們幫忙整理一下現在盛全拿貨的原價、扣趴金額、未來取消扣趴直接扣抵的金額，他會幫忙跟採購說，未來就直接照調整後的單價下單。
月底會過去碰面</t>
    <phoneticPr fontId="1" type="noConversion"/>
  </si>
  <si>
    <t>確認報價數量，以100pcs、500pcs、1000pcs做報價，先整理完會用到的所有料再來跟HITIO談</t>
    <phoneticPr fontId="1" type="noConversion"/>
  </si>
  <si>
    <t>五力</t>
    <phoneticPr fontId="1" type="noConversion"/>
  </si>
  <si>
    <t>目前盤式SCR有DYNEX跟Westcode，目前還要確認一下庫存水位再下單</t>
    <phoneticPr fontId="1" type="noConversion"/>
  </si>
  <si>
    <t>長榮</t>
    <phoneticPr fontId="1" type="noConversion"/>
  </si>
  <si>
    <t>生意狀況差，用GBJ梳型整流+低壓MOS+FRED，GBJ會再提供規格給Julia，看有沒有產品推薦，近期要庫存盤點，FRED要確認一下庫存水位再排單</t>
    <phoneticPr fontId="1" type="noConversion"/>
  </si>
  <si>
    <t>三相整流橋30A、50A、100A都已經出去客戶那邊，目前Nell庫存都還有7、800pcs，要求過年前再下一批小批量出去試一下，要再追一下</t>
    <phoneticPr fontId="1" type="noConversion"/>
  </si>
  <si>
    <t>Discrete不測，都買Nell現貨，票期、交期、庫存都有意見，難配合</t>
    <phoneticPr fontId="1" type="noConversion"/>
  </si>
  <si>
    <t>帶Julia去認識一下，詢問到近期台鐵的標案跟SCR與Diode仍舊逃避對話說有事情要忙。</t>
    <phoneticPr fontId="1" type="noConversion"/>
  </si>
  <si>
    <t>要求月底碰面，請我前一周再跟他確認時間</t>
    <phoneticPr fontId="1" type="noConversion"/>
  </si>
  <si>
    <t>EISBG統購Yumin</t>
    <phoneticPr fontId="1" type="noConversion"/>
  </si>
  <si>
    <t>詢問Relay預估用量、目標價，不願意提供，希望先以100、500、1000pcs去做報價跟交期提供</t>
    <phoneticPr fontId="1" type="noConversion"/>
  </si>
  <si>
    <t>發貨問題處理，可解決，後續下一批訂單再便宜一點給她，意思一下</t>
    <phoneticPr fontId="1" type="noConversion"/>
  </si>
  <si>
    <t>確認目前狀況，目前只有用RACM-60，原訂26Q1完成整機送實驗室，但軟體設計與機構件Delay，預計要3月底4月初才有辦法送實驗室，驗證時間會需要3-5個月，驗證完後會先30台小量試產，預計年底左右會有批量訂單。
本週時間不太方便碰面，1/19(一)再跟他確認該週碰面時間</t>
    <phoneticPr fontId="1" type="noConversion"/>
  </si>
  <si>
    <t>採購張R</t>
    <phoneticPr fontId="1" type="noConversion"/>
  </si>
  <si>
    <t>來尋Semikron 400A IGBT，跟RD確認完實際需求再說</t>
    <phoneticPr fontId="1" type="noConversion"/>
  </si>
  <si>
    <t>RD江鴻展</t>
    <phoneticPr fontId="1" type="noConversion"/>
  </si>
  <si>
    <t>目前廠內實驗設備需求4pcs，尚未用EG400T0F-120B測試，約月底碰面，目前沒有其他訂單</t>
    <phoneticPr fontId="1" type="noConversion"/>
  </si>
  <si>
    <t>採購Chris</t>
    <phoneticPr fontId="1" type="noConversion"/>
  </si>
  <si>
    <t>約訪碰面，今天周會，要另約時間</t>
    <phoneticPr fontId="1" type="noConversion"/>
  </si>
  <si>
    <t>失效報告討論，目前新機系列開始設計
1~2KW只有2、300V MOS
3~60KW有分150V、600V、1200V系統(300V、800~1000V、1500V MOS)
目前一月會先進行2nd Source產品測試
東晶(和泰洋 代理) 200V、900V、1500V MOS
DACO 1500V MOS
UTC 900V MOS
麗隽 1500V MOS 
預計12N100會在2月買樣品來測
目前12N150會用在60KW新機種，目前還在等散熱器來才有機會測，預計Q1前會完成初步單原件測試
請我們提供3~40A / 2、300V MOS (實際7~12A) 目前買價NT15~18
新機種設計，1KW機種，尋Rds(on) 10~12mohm TO220 封裝，目前暫無方案</t>
    <phoneticPr fontId="1" type="noConversion"/>
  </si>
  <si>
    <t>採購周S</t>
    <phoneticPr fontId="1" type="noConversion"/>
  </si>
  <si>
    <t>帶Julia 去認識一下，目前生意不佳，仍有庫存，沒有新東西。</t>
    <phoneticPr fontId="1" type="noConversion"/>
  </si>
  <si>
    <t>吳宏仁副理</t>
    <phoneticPr fontId="1" type="noConversion"/>
  </si>
  <si>
    <t>IGBT第二顆失效，先請副理確認失效狀況並約周五碰面了解</t>
    <phoneticPr fontId="1" type="noConversion"/>
  </si>
  <si>
    <t>不在位子上，要另找時間再聯絡</t>
    <phoneticPr fontId="1" type="noConversion"/>
  </si>
  <si>
    <t>會議中，下午再聯絡</t>
    <phoneticPr fontId="1" type="noConversion"/>
  </si>
  <si>
    <t>菲尼克斯</t>
    <phoneticPr fontId="1" type="noConversion"/>
  </si>
  <si>
    <t>RD廖R Jerry</t>
    <phoneticPr fontId="1" type="noConversion"/>
  </si>
  <si>
    <t xml:space="preserve">做充電樁的公司，現在都是出充電樁給方案商做國外案子較多。
目前Relay用YM、Fuse用Little Fuse
近期在找180KW~360KW 的Relay、Fuse的2nd Source
500A、1000A / 1000V 規格Relay
Fuse會再提供Little Fuse型號
本周提供相應規格，約下周出差再去坐下來細聊。
</t>
    <phoneticPr fontId="1" type="noConversion"/>
  </si>
  <si>
    <t>輝能</t>
  </si>
  <si>
    <t>趙星智</t>
  </si>
  <si>
    <t>李証智</t>
  </si>
  <si>
    <t>劉政諺</t>
    <phoneticPr fontId="1" type="noConversion"/>
  </si>
  <si>
    <t>柯俊宏</t>
    <phoneticPr fontId="1" type="noConversion"/>
  </si>
  <si>
    <t>目前在外面，今天不太方便電話，請我明天再打</t>
    <phoneticPr fontId="1" type="noConversion"/>
  </si>
  <si>
    <t>生管黃R</t>
    <phoneticPr fontId="1" type="noConversion"/>
  </si>
  <si>
    <t>要求討論後續排單，不方便電話先留言</t>
    <phoneticPr fontId="1" type="noConversion"/>
  </si>
  <si>
    <t>目前針對204036該批號進行IGBT更換，針對charger設計未進行任何更換，希望跟TSMC說明為偶發事件，請宏微提供204036失效批跟2025年發貨的IGBT出廠報告做比對並與TSMC說明。
銅條是近期非TSMC的客戶找晃誼設計200KW、250KW的charger方案，頂多3、4台，沒什麼量且一次性。</t>
    <phoneticPr fontId="1" type="noConversion"/>
  </si>
  <si>
    <t>EK330確認一月底交期並希望從12pcs追加到20pcs，待確認後回覆。</t>
    <phoneticPr fontId="1" type="noConversion"/>
  </si>
  <si>
    <t>詢問1000A / 2200V 盤式SCR*12pcs，目前型號給不完全，再打給張經理確認後提供方案與報價</t>
    <phoneticPr fontId="1" type="noConversion"/>
  </si>
  <si>
    <t>詢問75A、100A / 600V PIM 各128pcs 報價與交期 + 75A / 1200V PIM*64pcs ，確認後約出差碰面，連30A PIM跟獅門的100A / 650V PIM一起談</t>
    <phoneticPr fontId="1" type="noConversion"/>
  </si>
  <si>
    <t>溝通栓型與盤式小量訂單，栓型SCR 350A*60 + DCR720E18*42</t>
    <phoneticPr fontId="1" type="noConversion"/>
  </si>
  <si>
    <t>W4</t>
    <phoneticPr fontId="1" type="noConversion"/>
  </si>
  <si>
    <t>關心目前整機設計進度，約周二碰面。</t>
    <phoneticPr fontId="1" type="noConversion"/>
  </si>
  <si>
    <t>RD 鄭課長</t>
    <phoneticPr fontId="1" type="noConversion"/>
  </si>
  <si>
    <t>約訪討論新機種設計，目前想找小顆整流+EK130做新機種點焊機，整流方案尚未提供。</t>
    <phoneticPr fontId="1" type="noConversion"/>
  </si>
  <si>
    <t>盤式SCR維修需求，型號未能提供，約碰面確認型號並帶Julia去認識。</t>
    <phoneticPr fontId="1" type="noConversion"/>
  </si>
  <si>
    <t>跟採購催排單說生管還沒有下需求，直接跟生管約碰面討論。</t>
    <phoneticPr fontId="1" type="noConversion"/>
  </si>
  <si>
    <t>協調多下8pcs EK330訂單交期並取得訂單。</t>
    <phoneticPr fontId="1" type="noConversion"/>
  </si>
  <si>
    <t>方經理</t>
    <phoneticPr fontId="1" type="noConversion"/>
  </si>
  <si>
    <t>日本變頻器案子，會用利佳自己做的整流器搭配450A / 1200V IGBT做伺服馬達驅動，規格100KW並聯2pcs、150KW則3pcs，用於日本紡織產業。
提供EG450D0LT-120H方案並說明並聯IGBT注意事項。</t>
    <phoneticPr fontId="1" type="noConversion"/>
  </si>
  <si>
    <t>採購吳S、王S</t>
    <phoneticPr fontId="1" type="noConversion"/>
  </si>
  <si>
    <t>見供應商窗口更換為王S
沒什麼決定權，先確保固馳SCR導入量產。</t>
    <phoneticPr fontId="1" type="noConversion"/>
  </si>
  <si>
    <t>鄭課長臨時被客戶叫去，讓Julia與採購互動。</t>
    <phoneticPr fontId="1" type="noConversion"/>
  </si>
  <si>
    <t>ALVA</t>
    <phoneticPr fontId="1" type="noConversion"/>
  </si>
  <si>
    <t>一月份IGBT訂單空運協調。</t>
    <phoneticPr fontId="1" type="noConversion"/>
  </si>
  <si>
    <t>EK200M42-160UA用於做國內小量客戶變頻器，IGBT目前都還有庫存，直接協調交期並取得訂單。</t>
    <phoneticPr fontId="1" type="noConversion"/>
  </si>
  <si>
    <t>嚴R</t>
    <phoneticPr fontId="1" type="noConversion"/>
  </si>
  <si>
    <t>由於失效該批IGBT都用25年的貨換下來，目前缺料，協助確認交期。</t>
    <phoneticPr fontId="1" type="noConversion"/>
  </si>
  <si>
    <t>ANDY</t>
    <phoneticPr fontId="1" type="noConversion"/>
  </si>
  <si>
    <t>呈振企業PEM需求CWTHF/15/B/2.5/700*3 ，相關細節Andy都還不清楚，先請Julia提供3支的報價。</t>
    <phoneticPr fontId="1" type="noConversion"/>
  </si>
  <si>
    <t>確認中悅250KW機種銅條需求5~7台而已，不接散單。</t>
    <phoneticPr fontId="1" type="noConversion"/>
  </si>
  <si>
    <t>固鼎</t>
    <phoneticPr fontId="1" type="noConversion"/>
  </si>
  <si>
    <t>RD 張究因</t>
    <phoneticPr fontId="1" type="noConversion"/>
  </si>
  <si>
    <t>一樣在做客製source，目前有做醫療案子需要5V--&gt;5V 給驅動IC，2W以上D/D ，輔電A/D用明緯沒什麼搞頭。
張R會提供目前用的D/D給Julia，再推薦規格與報價。</t>
    <phoneticPr fontId="1" type="noConversion"/>
  </si>
  <si>
    <t>RACM60目前正在跟RECOM要完整的UL醫規認證。
目前機構未定案，整機EMI干擾目前正在處理中。
目前錯誤回報、藍芽數據收集的軟體還在寫。
預計26年7 8月送實驗室。
一般經驗上會送實驗室2-3次，一次2-3個月
預計會在26年Q3 (第一次跟第二次送實驗室中間) 小量生產10台，實驗室完成後才會送政府販賣許可申請，約3-6個月。
預計量產要到27年Q1、Q2。
輸入輸出端子lock的問題再去跟RECOM詢問。</t>
    <phoneticPr fontId="1" type="noConversion"/>
  </si>
  <si>
    <t>介紹HIITIO產品，目前在做電池放電的設備自己實驗用(鉛酸電池，實際運作520V~550VDC)，詢問50A/100A 線圈電壓24VDC 要輔助接點的RELAY，請Julia提供方案與報價。</t>
    <phoneticPr fontId="1" type="noConversion"/>
  </si>
  <si>
    <t>DELTA</t>
    <phoneticPr fontId="1" type="noConversion"/>
  </si>
  <si>
    <t>俊鑫</t>
    <phoneticPr fontId="1" type="noConversion"/>
  </si>
  <si>
    <t>林老闆</t>
    <phoneticPr fontId="1" type="noConversion"/>
  </si>
  <si>
    <t>說明鐵粉芯狀況，由於設備跟模具耗損造成公差，後續有考慮要下單，先提供1000跟2000pcs的報價。</t>
    <phoneticPr fontId="1" type="noConversion"/>
  </si>
  <si>
    <t>IGBT交期數量確認，要求一次下360顆全部訂單</t>
    <phoneticPr fontId="1" type="noConversion"/>
  </si>
  <si>
    <t>目前都在忙著生產，整流橋測試預計在農曆年後。</t>
    <phoneticPr fontId="1" type="noConversion"/>
  </si>
  <si>
    <t>RD</t>
    <phoneticPr fontId="1" type="noConversion"/>
  </si>
  <si>
    <t>約訪討論HVDC Relay、Fuse跟DCDC再重新談一下，確認承德現在的狀況。</t>
    <phoneticPr fontId="1" type="noConversion"/>
  </si>
  <si>
    <t>RD 方經理</t>
    <phoneticPr fontId="1" type="noConversion"/>
  </si>
  <si>
    <t>IGBT提供報價，溝通2、3月分批交貨，360pcs訂單會一次下下來。</t>
    <phoneticPr fontId="1" type="noConversion"/>
  </si>
  <si>
    <t>採購劉S、Uma、生管黃R</t>
    <phoneticPr fontId="1" type="noConversion"/>
  </si>
  <si>
    <t>協調售服備品訂單整合with 劉春蘭+Uma+生管黃R並要求後續排單</t>
    <phoneticPr fontId="1" type="noConversion"/>
  </si>
  <si>
    <t>張正堂、陳至立</t>
    <phoneticPr fontId="1" type="noConversion"/>
  </si>
  <si>
    <t>盤式SCR規格確認，請Julia提供方案與報價。
DC Motor Drive提供EK40~330規格
IGBT提供獅門400A / 600V IGBT方案。</t>
    <phoneticPr fontId="1" type="noConversion"/>
  </si>
  <si>
    <t>武雄</t>
    <phoneticPr fontId="1" type="noConversion"/>
  </si>
  <si>
    <t>目前狀況詢問。
IRON系列都是出給TW國內，較易遇到直接搬大陸充電樁的價格競爭狀況，所以改系列一定會需要Cost Down，但目前國外客戶針對PRIME、MAGNUS兩個系列240KW、360KW 要下單生產跟調整，所以現階段全部得中心會先放到較為明確的國外客戶上(Relay客戶指定YM Fuse指定Little Fuse) ，IRON的Cost Down預計會在26年 5、6月左右會繼續進行，目前HIITIO 50A、300A Relay、250A Fuse 廠內側是都有PASS。</t>
    <phoneticPr fontId="1" type="noConversion"/>
  </si>
  <si>
    <t>找陸製盤式SCR替代方案用於維修，提供方案DCR1800F18，報價待提供。</t>
    <phoneticPr fontId="1" type="noConversion"/>
  </si>
  <si>
    <t>BRYAN</t>
    <phoneticPr fontId="1" type="noConversion"/>
  </si>
  <si>
    <t>75A /600V 1200V + 100A / 600V  IGBT交期回覆+約訪討論30A PIM、大馬力2 in 1 IGBT。</t>
    <phoneticPr fontId="1" type="noConversion"/>
  </si>
  <si>
    <t>PHOENIX</t>
    <phoneticPr fontId="1" type="noConversion"/>
  </si>
  <si>
    <t>RD廖R</t>
    <phoneticPr fontId="1" type="noConversion"/>
  </si>
  <si>
    <t>碰面約訪。</t>
    <phoneticPr fontId="1" type="noConversion"/>
  </si>
  <si>
    <t>三相整流橋目前還有庫存，近期生意較差，帶Julia去認識一下同時碰面追後續的訂單。</t>
    <phoneticPr fontId="1" type="noConversion"/>
  </si>
  <si>
    <t>黃經理</t>
    <phoneticPr fontId="1" type="noConversion"/>
  </si>
  <si>
    <t>目前EK系列白色的大概要二月才有機會慢慢開始裝出去試，約訪林經理，下周要去馬來西亞找客戶，要再另外約時間</t>
    <phoneticPr fontId="1" type="noConversion"/>
  </si>
  <si>
    <t>為升電裝工業</t>
    <phoneticPr fontId="1" type="noConversion"/>
  </si>
  <si>
    <t>陳泓瑋</t>
    <phoneticPr fontId="1" type="noConversion"/>
  </si>
  <si>
    <t>外出沒接</t>
    <phoneticPr fontId="1" type="noConversion"/>
  </si>
  <si>
    <t>傑羅司幫</t>
    <phoneticPr fontId="1" type="noConversion"/>
  </si>
  <si>
    <t>RAY</t>
    <phoneticPr fontId="1" type="noConversion"/>
  </si>
  <si>
    <t>電能</t>
    <phoneticPr fontId="1" type="noConversion"/>
  </si>
  <si>
    <t>關心獅門200A、300A IGBT狀況，說溫升狀況不太理想，但試問任何細節都不太確定，下周過去確認一下同時碰面談150A IGBT訂單。</t>
    <phoneticPr fontId="1" type="noConversion"/>
  </si>
  <si>
    <t>針對鐵粉芯品質還是有些疑慮，提供1K跟2K報價，可以先20pcs確認後會併同後面的批量算在同一張發票內。</t>
    <phoneticPr fontId="1" type="noConversion"/>
  </si>
  <si>
    <t>行競</t>
    <phoneticPr fontId="1" type="noConversion"/>
  </si>
  <si>
    <t>ME 謝R</t>
    <phoneticPr fontId="1" type="noConversion"/>
  </si>
  <si>
    <t>MMD130A160B 整流橋詢價+約訪</t>
    <phoneticPr fontId="1" type="noConversion"/>
  </si>
  <si>
    <t>約周三下午碰面。</t>
    <phoneticPr fontId="1" type="noConversion"/>
  </si>
  <si>
    <t>約週五拜訪碰面討論訂單細節。</t>
    <phoneticPr fontId="1" type="noConversion"/>
  </si>
  <si>
    <t>確認手邊後續IGBT訂單，目前整合有16K，要求一次開單。</t>
    <phoneticPr fontId="1" type="noConversion"/>
  </si>
  <si>
    <t>交接拜訪，原用MM110A160B 用於20KW焊機，但有客戶想用到25~30KW，導致整流橋有燒掉，想找MMD130A160B去試試看。
針對100A、150A Daxin IGBT也請我們報價，最近客戶有在詢問。</t>
    <phoneticPr fontId="1" type="noConversion"/>
  </si>
  <si>
    <t>鍾S</t>
    <phoneticPr fontId="1" type="noConversion"/>
  </si>
  <si>
    <t>帶Julia去，關係維護與認識。</t>
    <phoneticPr fontId="1" type="noConversion"/>
  </si>
  <si>
    <t>W5</t>
    <phoneticPr fontId="1" type="noConversion"/>
  </si>
  <si>
    <t>新版IGBT型高週波設備用DCR720E18 (westcode產品) *6 + MMG450WB120B6TC*6   250Kw 3KHZ
請大陸人幫忙Design，預計一月底整機會走海運來。
先提供IGBT報價。
設計有Busbar需求，待整機來調整測試確認後，若意願明確再跟他要圖紙討論。</t>
    <phoneticPr fontId="1" type="noConversion"/>
  </si>
  <si>
    <t>後續還有會議沒有時間聊，直接改約下周一下午1330</t>
    <phoneticPr fontId="1" type="noConversion"/>
  </si>
  <si>
    <t>因趕出貨改下次再約</t>
    <phoneticPr fontId="1" type="noConversion"/>
  </si>
  <si>
    <t>吳宏仁</t>
    <phoneticPr fontId="1" type="noConversion"/>
  </si>
  <si>
    <t>催出廠測試報告，目前IGBT有送第三方檢測，但一樣只說明過流過壓失效，無法再進一步檢測。
有拆一顆25年的產品，發現灌膠有空隙，需再跟宏微詢問灌膠的相關標準。</t>
    <phoneticPr fontId="1" type="noConversion"/>
  </si>
  <si>
    <t>150A IGBT忘記下單詢問交期，協調直接排三個月的訂單，分3月~5月每個月拿48pcs</t>
    <phoneticPr fontId="1" type="noConversion"/>
  </si>
  <si>
    <t>目前正在洽談拋光設備用伺服馬達驅動，功率2.2KW，提供EG15E1LT-120P、EG30E1LT-65P規格與報價，目前樣機才送樣一個月，尚未明確，預計每個月200pcs左右，end user 富士康。</t>
    <phoneticPr fontId="1" type="noConversion"/>
  </si>
  <si>
    <t>FAE Jerry</t>
    <phoneticPr fontId="1" type="noConversion"/>
  </si>
  <si>
    <t>國內主業分公司主業是出端子等零件給國內做充電樁的公司，目前也有搭配出方案，但主要是協助Design，出方案給客戶，目前方案需求100A / 1000V Relay做迴路切換(一台5pcs)，500A、1000A / 1000V Relay用作槍頭輸出(一槍頭2pcs)，Fuse 用Little Fuse 搭配Relay。
提供Relay、Fuse方案、報價。預計年後下小量樣品單
後續有Busbar需求，主要是解決爬電距離問題，約年後討論並提供圖面。</t>
    <phoneticPr fontId="1" type="noConversion"/>
  </si>
  <si>
    <t>關係維護，SCR Module還是堅持Semikorn不願意做更換。
目前在規畫自己做變頻氬焊機，但尚未明確，暫無其他願意動的交集點</t>
    <phoneticPr fontId="1" type="noConversion"/>
  </si>
  <si>
    <t>討論75A、100A IGBT訂單。  
目前獅門100A IGBT剛出去一個月，至少需要在觀察半年左右才會再下一批小量。
150A 600V 7 in 1、200A / 600V、1200V 、300A / 600V 2 in 1 IGBT提供方案與報價。</t>
    <phoneticPr fontId="1" type="noConversion"/>
  </si>
  <si>
    <t>喬150A IGBT訂單，告知現在下單最快3/10，後面兩批日期給盛全定這兩天會發訂單下來</t>
    <phoneticPr fontId="1" type="noConversion"/>
  </si>
  <si>
    <t>第三方測試IGBT只給出過壓過流問題，有自行拆蓋新一批的IGBT懷疑灌膠問題，再提供出廠測試報告。</t>
    <phoneticPr fontId="1" type="noConversion"/>
  </si>
  <si>
    <t>採購Darren</t>
    <phoneticPr fontId="1" type="noConversion"/>
  </si>
  <si>
    <t>ROHS問題處理與豁免資料提供</t>
    <phoneticPr fontId="1" type="noConversion"/>
  </si>
  <si>
    <t>李朝煌</t>
    <phoneticPr fontId="1" type="noConversion"/>
  </si>
  <si>
    <t>討論MMG100S060B6TC訂單</t>
    <phoneticPr fontId="1" type="noConversion"/>
  </si>
  <si>
    <t>採購涂S</t>
    <phoneticPr fontId="1" type="noConversion"/>
  </si>
  <si>
    <t>200A三相整流SCR小量需求，想問250A的版本，希望最晚交期二月底，告知EK200可滿足，EK250無法，建議下200A的，我們也不需要這個時間點改規格書。</t>
    <phoneticPr fontId="1" type="noConversion"/>
  </si>
  <si>
    <t>日本客戶提供機櫃圖紙有誤，IGBT放不進去，周四前會緊急跟日本那邊開會，可能會取消、或是日本願意改機櫃大小，交期可以稍微延後不用抓太緊。</t>
    <phoneticPr fontId="1" type="noConversion"/>
  </si>
  <si>
    <t xml:space="preserve">目前Relay只有用在切割機引弧的切換，割一次要切換一次，目前已裝機，仍在測試中，
Chopper焊機
低頻變壓器(大顆) + 整流 + IGBT   輸出一樣DC IGBT調頻
Inverter焊機
整流 + 高頻變壓器 + IGBT + FRED
目前預計3月份會在排Q2、Q3的單，切割機衰退嚴重，庫存水位仍在確認中。
預計開發300A的AC焊機 12kHZ
MMD240*3 + 600A IGBT*1 + 300A IGBT *2為一個Unit
一台有兩個unit做切換，預計年後開始動作 
再提供300A 2in1 IGBT方案
其他整流橋跟IGBT的排單預計三月會再排下來。
目前Fuse 需求 160A、180A / 300VAC  整流橋前保護
跟Diode 幾乎 1:1
200A DC Fuse IGBT保護用 跟IGBT 1:1
希望AC Fuse Sample 各4pcs
DC Fuse Sample 3pcs
100A / 300V AC Fuse Sample 1pc 用於測試熔斷狀況
</t>
    <phoneticPr fontId="1" type="noConversion"/>
  </si>
  <si>
    <t>目前除了Otis拿近來轉賣之外，預計3月會去大陸一趟，會直接從大陸拿變頻氬焊機進來賣，只有CO2會自己做。
栓型機種出的很少，一台6-12pcs，一年只有個位數台數+維修。
盤式版本沒有在生產，目前只有做維修。
新版Module式CO2焊機目前機構還沒有完成、軟體仍在修改。
預估農曆年後可以完成，預計要3月中~3月底才會再下Module的單。</t>
    <phoneticPr fontId="1" type="noConversion"/>
  </si>
  <si>
    <t>目前出電池Pack+BMS給客戶再搭配客戶自己的DCDC做成BBU。
既有60V、80V系統用三端保險絲。
DC Fuse 目前只有400V系統在用，現在用Little Fuse 526 Series (50A / 500VDC )，交期太長要找方案替代，目前只有伊頓有提供方案但還沒有樣品。
DCDC過去都是用IC自己做，因為未來系統電池站的空間越來越打所以想找一體式的DCDC減少空間，目前需求12V-&gt;12V溫壓型 + 12V--&gt;5V/3.3V 各一顆，會再提供目前機櫃內能夠給DCDC的空間尺寸，目前評估階段，尚未明確決定要更換。</t>
    <phoneticPr fontId="1" type="noConversion"/>
  </si>
  <si>
    <t>訂單協議EK25需求3K，溝通MOQ 10000pcs一次下單，提供給TSMC擴廠需求。
目前EK200裝出去測試大約2、3個月，需要再觀察，預計Q3下小批量。
SKKT273對應方案提供與報價，年用量待確認。</t>
    <phoneticPr fontId="1" type="noConversion"/>
  </si>
  <si>
    <t>詢250A 三相整流SCR，要求先下200A，還是堅持要250A規格書才能決定，再提供給她</t>
    <phoneticPr fontId="1" type="noConversion"/>
  </si>
  <si>
    <t>已提供IGBT出廠報告，但目前沒有顯示失效產品的出廠報告有異常之處，需再跟吳宏仁溝通確認晃誼打算怎麼應對。</t>
    <phoneticPr fontId="1" type="noConversion"/>
  </si>
  <si>
    <t>除規格跟報價外，需要Relay 3D圖跟碳足跡、並需要符合UL認證，Busbar約年後討論。</t>
    <phoneticPr fontId="1" type="noConversion"/>
  </si>
  <si>
    <t>關係維護，目前MTC110仍走小量測試驗證中，MMK庫存尚未消耗完，預計Q3左右才會再下單，但目前量都不會大，都會是100pcs以內。</t>
    <phoneticPr fontId="1" type="noConversion"/>
  </si>
  <si>
    <t>重新提供200A、300A IGBT Rg值再去測試，另外再郵件提供過去常買產品的最新價格，讓盛全內部也取消扣%
另提供HIITIO Relay規格+報價 (電能同款)</t>
    <phoneticPr fontId="1" type="noConversion"/>
  </si>
  <si>
    <t>EG150D1GSF-065B 用於設計40KHz  300A  8KW焊機時發生短路失效，希望能協助提供失效報告，實際工作60A / 310-320VAC
150A 、 400A 用於20KHz機種出去時間比較晚，需要再驗證一段時間，預計6月-7月才會再下各100pcs小批量</t>
    <phoneticPr fontId="1" type="noConversion"/>
  </si>
  <si>
    <t>因機構尺寸問題，IGBT二月份30顆一樣交貨，但三月份330顆要can單</t>
    <phoneticPr fontId="1" type="noConversion"/>
  </si>
  <si>
    <t>訂單溝通討論，一直想要拿現貨、靠夭沒有備貨，但後續拉貨計畫不明確，要求IGBT直接下3K。</t>
    <phoneticPr fontId="1" type="noConversion"/>
  </si>
  <si>
    <t>MMD110A160B訂單交期協調延後至二月</t>
    <phoneticPr fontId="1" type="noConversion"/>
  </si>
  <si>
    <t>固緯今年從4-12月預估Forecast 數量60K，預估加上急單、差單總量80-100K</t>
    <phoneticPr fontId="1" type="noConversion"/>
  </si>
  <si>
    <t>日本變頻器IGBT案 用 FUJI   6MBI450U4-120-50 (停產) 
目前儲能跟天宇合作，拿天宇的pack，利佳做BMS，PCS找大陸廠家代工後搬進來。
目前Relay都是由大陸代工PCS廠家幫忙從大陸買宏發的產品進來，目前常用300A /、500A / 1500V (環氧)
再提供方案與報價。</t>
    <phoneticPr fontId="1" type="noConversion"/>
  </si>
  <si>
    <t>有鐵粉芯需求，但對於尺寸較為擔憂，目前協調
1.提供20對單價，測試一個月後決定下1K還是2K
2.重新提供規格書，以規格書中訂定公差為準
3.批量交貨後30工作天內名樣會檢查完全部鐵粉芯
4.超出規格書公差範圍的產品可換貨。
再提供較完整的報價單與最新版本的規格書</t>
    <phoneticPr fontId="1" type="noConversion"/>
  </si>
  <si>
    <t>RD李景翰</t>
    <phoneticPr fontId="1" type="noConversion"/>
  </si>
  <si>
    <t>目前手邊都在依照客戶需求調整軟體，無其他新交集
目前三相橋都用SanRex 庫存很多暫時不會測試其他方案
我們的SCR整流只有用在8KW-12KW機種，一年不到10pcs
SiC 預計要四月才會開始研發。</t>
    <phoneticPr fontId="1" type="noConversion"/>
  </si>
  <si>
    <t xml:space="preserve">小功率200W-1KW機種 20-40KHZ會用SOT-227 MOS 94A/600V、50A / 800V 再提供方案推薦，年用量3-400pcs
高頻變壓器磁芯UU型，年用量約300-500對
陶瓷DC Fuse 100A、200A / 400V 輸入保護用，提供推薦方案
磁芯、Fuse會再提供目前手邊的方案，確認規格與尺寸後再做推薦。
</t>
    <phoneticPr fontId="1" type="noConversion"/>
  </si>
  <si>
    <t>ME James</t>
    <phoneticPr fontId="1" type="noConversion"/>
  </si>
  <si>
    <t>郵件提供Relay客制版本，約周二上午碰面，順便要求提供採購的窗口碰面，先打探完客製Relay的價格概念後再進行報價。</t>
    <phoneticPr fontId="1" type="noConversion"/>
  </si>
  <si>
    <t>EE Jamie</t>
    <phoneticPr fontId="1" type="noConversion"/>
  </si>
  <si>
    <t>DCDC約週二上午碰面討論</t>
    <phoneticPr fontId="1" type="noConversion"/>
  </si>
  <si>
    <t>提供Fuse、Relay型號，請我們協助推薦跟報價後再跟她確認交期，另為須協助一併提供3D圖、碳足跡、UL/CE認證等相關資料。</t>
    <phoneticPr fontId="1" type="noConversion"/>
  </si>
  <si>
    <t>W6</t>
    <phoneticPr fontId="1" type="noConversion"/>
  </si>
  <si>
    <t>目前預計3月份會有30Aor50A/1000V Relay需求200pcs左右
另尋250A~300A的Relay( 跟400A同封裝) *16~24pcs
兩個方案都是目前在談的案子，預計年後會有結果
目前儲能都還是跟經濟部和工研院合作，還沒有起量，這個部分現階段還是用士電的Relay，後續量產不用交經濟部後就會更換。</t>
    <phoneticPr fontId="1" type="noConversion"/>
  </si>
  <si>
    <t>處理情緒問題，目前出場測試報告已提供，尚未提供灌膠規範，目前傾向是以瑕疵品做說明，看TSMC是否願意結案。
現階段有同時在測IXYS的產品，目前還在廠內測試初期而已，尚未明確。</t>
    <phoneticPr fontId="1" type="noConversion"/>
  </si>
  <si>
    <t>交接Arron討論的項目，目前由於樣品預算的問題所以樣品採購稍有延遲，會盡量這周提供樣品訂單，預計Fuse三款各1，Relay 300A*6 + 50A*3 。
但50A Relay也要做現常跟端子客製，會再提供圖面給我。</t>
    <phoneticPr fontId="1" type="noConversion"/>
  </si>
  <si>
    <t>詢價單回覆，交期時間調整討論，二月底的貨調整至三月底。</t>
    <phoneticPr fontId="1" type="noConversion"/>
  </si>
  <si>
    <t>要求提供50A 線材客製圖面</t>
    <phoneticPr fontId="1" type="noConversion"/>
  </si>
  <si>
    <t>近期因為原物料上漲，目前都在處理整機價格的事情，現在沒有時間處理，要年後才有時間討論</t>
    <phoneticPr fontId="1" type="noConversion"/>
  </si>
  <si>
    <t>RD Ronald</t>
    <phoneticPr fontId="1" type="noConversion"/>
  </si>
  <si>
    <t>目前EG25測試的風機案子，由於後續大陸根茂會收起來，加工全部都會外包給熟識的代工廠做，代工廠直接協助買料並推薦芯能，基本上沒什麼機會。
後續偶而連絡再看看有沒有其他需求跟機會。</t>
    <phoneticPr fontId="1" type="noConversion"/>
  </si>
  <si>
    <t>目前只有高登的Relay有出一台樣機給客戶測試，其他都是廠內測試通過而已，目前每一家都Pass。
UL2299有聽說會從原本2026年中旬延到2027年初。
帶UL明確之前都不會有更大動作的試產。</t>
    <phoneticPr fontId="1" type="noConversion"/>
  </si>
  <si>
    <t>頂茂</t>
    <phoneticPr fontId="1" type="noConversion"/>
  </si>
  <si>
    <t>採購 楊R</t>
    <phoneticPr fontId="1" type="noConversion"/>
  </si>
  <si>
    <t>目前高登Relay價格相對便宜，目前都還沒有進行任何後續議價，真的要生產要採購時會全部再詢一次價格。</t>
    <phoneticPr fontId="1" type="noConversion"/>
  </si>
  <si>
    <t>二代 林R</t>
    <phoneticPr fontId="1" type="noConversion"/>
  </si>
  <si>
    <t>目前恆創給的磁芯規格尺寸都還是有落差，這兩天在說服看看有沒有辦法接受現在的模具尺寸，不然就可能要討論模具費。</t>
    <phoneticPr fontId="1" type="noConversion"/>
  </si>
  <si>
    <t>王薪傳</t>
    <phoneticPr fontId="1" type="noConversion"/>
  </si>
  <si>
    <t>600A IGBT預計下滑15-20%，年用量剩約200pcs，此次48pcs接單，後續要求以60pcs為單位</t>
    <phoneticPr fontId="1" type="noConversion"/>
  </si>
  <si>
    <t>採購關S</t>
    <phoneticPr fontId="1" type="noConversion"/>
  </si>
  <si>
    <t>目前用RACM60設計，由於新增了一些功能導致功率不太夠，造成輸出電壓不穩定的狀況，目前討論的幾個部分。
1.可能改用30W+60W、或是直接一顆130W。
130W需要提供規格、報價、並確認是否符合最新醫規。
2. 30W、60W、130W提供1pcs、200pcs、500pcs階梯式報價，130W會再去跟Delta的ACDC比價一下( Delta產品只買過一顆測試，型號尚未提供)
3. RECOM   30W、60W、以及後續的130W 的完整醫規認證文件要給出來。
4.輸入輸出端子希望能改成有卡扣式，因為擔心振動測試時會掉。
約周二上午會碰面了解清楚實際狀況。</t>
    <phoneticPr fontId="1" type="noConversion"/>
  </si>
  <si>
    <t>提供灌膠規範並協助釐清相關問題。</t>
    <phoneticPr fontId="1" type="noConversion"/>
  </si>
  <si>
    <t>RD 韓R</t>
    <phoneticPr fontId="1" type="noConversion"/>
  </si>
  <si>
    <t>W7</t>
    <phoneticPr fontId="1" type="noConversion"/>
  </si>
  <si>
    <t>目前希望做標準品推廣，當初是直接選到最大所以直接選用vicro。
POWI目前提供的是30W，並四顆測試，60W的還沒做出來。</t>
    <phoneticPr fontId="1" type="noConversion"/>
  </si>
  <si>
    <t>採購壽S</t>
    <phoneticPr fontId="1" type="noConversion"/>
  </si>
  <si>
    <t>溝通SC訂單預付款金額，要求80%</t>
    <phoneticPr fontId="1" type="noConversion"/>
  </si>
  <si>
    <t>Phoenix</t>
    <phoneticPr fontId="1" type="noConversion"/>
  </si>
  <si>
    <t>確認Relay、Fuse型號、尺寸、認證需求</t>
    <phoneticPr fontId="1" type="noConversion"/>
  </si>
  <si>
    <t>Chris</t>
    <phoneticPr fontId="1" type="noConversion"/>
  </si>
  <si>
    <t>工廠搬遷，料件重新整理，要求提供MMG100S120B6UC的ROHS、REACH、UL認證</t>
    <phoneticPr fontId="1" type="noConversion"/>
  </si>
  <si>
    <t>確認EK330交期，年後會再下10-15pcs</t>
    <phoneticPr fontId="1" type="noConversion"/>
  </si>
  <si>
    <t>說用RACM60功率太極限，會出現輸出電壓震盪、LEC燈閃爍等情況。約訪碰面，討論130W、30W、60W ACDC 並提供批量價格，帶Arron去</t>
    <phoneticPr fontId="1" type="noConversion"/>
  </si>
  <si>
    <t>金總</t>
    <phoneticPr fontId="1" type="noConversion"/>
  </si>
  <si>
    <t>要求SCR 預付款80%，說只能接受50%，剩下堅持要樂節，在幫他跟公司爭取看看</t>
    <phoneticPr fontId="1" type="noConversion"/>
  </si>
  <si>
    <t>原設計60W電源，有40W會拿來驅動，所以加上其他功能60W會太極限。
目前依成本考量是130W會稍微便宜一點。
但以內部設計方便性來說會偏向60W+30W，可以單純讓60W處理馬達驅動，30W處理其他功能，而且不用再做隔離。
目前聯興內部討論一下，預計年後會提供給我最終的決定方案。</t>
    <phoneticPr fontId="1" type="noConversion"/>
  </si>
  <si>
    <t>DCR2400B85是為了他開一條產線特別生產，所以DYNEX也堅持預先收全額。
我們對建凱可以讓他預先付50%，但發貨前要付剩下的50%，金總有點情緒堅持後面50%要月結，堅持不退，要求取消該筆訂單。</t>
    <phoneticPr fontId="1" type="noConversion"/>
  </si>
  <si>
    <t>目前中壓、高壓MOS 的部分 AUK高壓、東晶中壓、高壓全部測試都fail，東京2、3月都會再拿一顆1000V的MOS來給他測，中壓根高壓部分目前只有我們能用</t>
    <phoneticPr fontId="1" type="noConversion"/>
  </si>
  <si>
    <t>EG450的IGBT*30就佈下採購，幫他取消掉</t>
    <phoneticPr fontId="1" type="noConversion"/>
  </si>
  <si>
    <t>二代林R</t>
    <phoneticPr fontId="1" type="noConversion"/>
  </si>
  <si>
    <t>確認公差定義與後續交易時間點。
預計三月中樣品收到後測30天，測試後會提供相對應MOQ數量的訂單。
批量產品送到後有30個工作天給明洋檢查，如果尺寸有超出公差要明確記錄，時間內且尺寸超過公差的話給他們換到好。</t>
    <phoneticPr fontId="1" type="noConversion"/>
  </si>
  <si>
    <t>告知IGBT*1沒辦法接單。
二極體會再跟生產那邊確認。</t>
    <phoneticPr fontId="1" type="noConversion"/>
  </si>
  <si>
    <t xml:space="preserve">公差定義好，發完整版本的規格書過去，先以NT400的價格買20對。
</t>
    <phoneticPr fontId="1" type="noConversion"/>
  </si>
  <si>
    <t>線圈電壓都24V，需要輔助接點，目前報價Relay 100A*5 + 500A*4 + 1000A*4 (Fuse跟Relay 1:1)
預計年後下單</t>
    <phoneticPr fontId="1" type="noConversion"/>
  </si>
  <si>
    <t>生管</t>
    <phoneticPr fontId="1" type="noConversion"/>
  </si>
  <si>
    <t>告知800A IGBT 1pc沒辦法接單，請生管去喬看看有沒有辦法都先用生產的量去做售服，等半年或一年的一個時間節點再統整一次售服的量。</t>
    <phoneticPr fontId="1" type="noConversion"/>
  </si>
  <si>
    <t>目前先以我們提供的內容去跟TSMC作匯報，實際狀況要等報告完再說，目前沒有需要其他資料，有需要再跟我聯絡。</t>
    <phoneticPr fontId="1" type="noConversion"/>
  </si>
  <si>
    <t>規格書提供、報價單提供、樣品訂單確認，直接下無PO</t>
    <phoneticPr fontId="1" type="noConversion"/>
  </si>
  <si>
    <t>詢問過去100AIGBT換到現在150A的狀況</t>
    <phoneticPr fontId="1" type="noConversion"/>
  </si>
  <si>
    <t>GIS800*1PCS不接單，從2027/2拉60PCS到2026/3交。
另MMF2X100J060D有急單多下210pcs量產用，不為售服則接單。</t>
    <phoneticPr fontId="1" type="noConversion"/>
  </si>
  <si>
    <t>提供RECOM醫規產品，另發現RACM60只有EMC的醫規認證，沒有60601-1的安全性認證，請Arron去幫忙要、另外也要求Louis提供工廠的ISO 13485認證</t>
    <phoneticPr fontId="1" type="noConversion"/>
  </si>
  <si>
    <t>討論MMG150S120B6TC*50PCS訂單問題。
要求永大先取消此筆IGBT訂單，依照MOQ500PCS下單，會再排下來。</t>
    <phoneticPr fontId="1" type="noConversion"/>
  </si>
  <si>
    <t>採購小姐</t>
    <phoneticPr fontId="1" type="noConversion"/>
  </si>
  <si>
    <t>協調GBJ交期3月提前至2月底發貨。
HongFa Relay希望4月初要用於生產，請paul催一下看三月底能先發多少</t>
    <phoneticPr fontId="1" type="noConversion"/>
  </si>
  <si>
    <t>會議中，晚點再打</t>
    <phoneticPr fontId="1" type="noConversion"/>
  </si>
  <si>
    <t>目前主要半導體有整流橋、IGBT、MOS、FRED、SCR Module、SCR栓型等交集。
最主要交貨地點上海、廣州、台南。
希望方式 : 下單之後在交期內就送到指定地點，如果能夠達到才有機會談後續配合。
約三月再來談這件事情。
在這之前先整理好，交台南、交上海、交廣州的部分分別是怎麼樣的操作方式。
後續再來談其他料跟配合。
Sample : 生產時間再抓兩周，先拉進來再發順風或UPS過去
量產 : 走三角貿易，先拉到上海或香港的保稅倉、再找貨帶拉過去指定地點</t>
    <phoneticPr fontId="1" type="noConversion"/>
  </si>
  <si>
    <t>韓R</t>
    <phoneticPr fontId="1" type="noConversion"/>
  </si>
  <si>
    <t>目前MacMic、三菱、富士板子都焊好了，可是現在有其他機種用IPM的現在在做整機UL測試，預計UL要到三月，可能要4-5月才有機會測試，測試OK就會放上BOM表給聯昌，要採購誰的東西就是給聯昌自己決定了。
預計年後有過去在跟他約個時間碰面討論一下後續跟細節。</t>
    <phoneticPr fontId="1" type="noConversion"/>
  </si>
  <si>
    <t>Ruby</t>
    <phoneticPr fontId="1" type="noConversion"/>
  </si>
  <si>
    <t>詢價HF152F/012-1HST  *500</t>
    <phoneticPr fontId="1" type="noConversion"/>
  </si>
  <si>
    <t>目前200A、300A 預計年後會調整Rg值去測試。
提供發票折讓單</t>
    <phoneticPr fontId="1" type="noConversion"/>
  </si>
  <si>
    <t>2026年公司政策，Q1-Q3會先將既有的共應商先整合再重新計算Cost，新廠商的導入會預計在2026/8月開始進行，目前較有機會的產品從30W、60W、90W、130W，保持聯絡再找適當的時機點。</t>
    <phoneticPr fontId="1" type="noConversion"/>
  </si>
  <si>
    <t>目前RECOM 550W、600W看規格都可以用。
FDA預計4月-5月訪廠，再保持聯絡。</t>
    <phoneticPr fontId="1" type="noConversion"/>
  </si>
  <si>
    <t>RD Eva</t>
    <phoneticPr fontId="1" type="noConversion"/>
  </si>
  <si>
    <t>目前收編的案子的工作電壓是700VDC輸入的DCDC，過去因為選擇的關係會另外限制電壓的輸入。
最理想是直接用一顆輸入電壓高的DCDC全部共用，但目前會先考慮分400VDC輸入用一款DCDC、超過的話就自己兜。
送樣品可以幫忙測，但目前都還在推廣性質生意較不穩定也很難抓量。
要用買的話要再跟主管討論。 再發mail</t>
    <phoneticPr fontId="1" type="noConversion"/>
  </si>
  <si>
    <t>Jeff已經休假了，要年後再連絡</t>
    <phoneticPr fontId="1" type="noConversion"/>
  </si>
  <si>
    <t>目前都只有AC樁的產品，DC樁會等穩定一點之後才會開始研發，估計也要Q3Q4，年後再約個時間碰個面介紹看看，找看看有沒有交集點。</t>
    <phoneticPr fontId="1" type="noConversion"/>
  </si>
  <si>
    <t>目前DCDC舊版會沿用，不會特別改版子，但後續新的案子會去改layout，成本考量會採用RYK的方案，HIITIO的東西先發個Mail基本介紹，年後約時間碰面介紹跟討論</t>
    <phoneticPr fontId="1" type="noConversion"/>
  </si>
  <si>
    <t>馳諾瓦</t>
    <phoneticPr fontId="1" type="noConversion"/>
  </si>
  <si>
    <t>採購 許協理</t>
    <phoneticPr fontId="1" type="noConversion"/>
  </si>
  <si>
    <t>同事代接，有事下班了，請我明天早上再打</t>
    <phoneticPr fontId="1" type="noConversion"/>
  </si>
  <si>
    <t>採購 關S</t>
    <phoneticPr fontId="1" type="noConversion"/>
  </si>
  <si>
    <t>確認MMG150S120B6TC訂單改500pcs</t>
    <phoneticPr fontId="1" type="noConversion"/>
  </si>
  <si>
    <t>說明MM15F060K1由於宏微有量還是會做，無法提供EOL聲明，改為郵件提供此料狀態給福峰，讓他們去提供給安川</t>
    <phoneticPr fontId="1" type="noConversion"/>
  </si>
  <si>
    <t>周R</t>
    <phoneticPr fontId="1" type="noConversion"/>
  </si>
  <si>
    <t>DYNEX GTO 詢價10pcs，提供報價單</t>
    <phoneticPr fontId="1" type="noConversion"/>
  </si>
  <si>
    <t>W9</t>
    <phoneticPr fontId="1" type="noConversion"/>
  </si>
  <si>
    <t>明創</t>
    <phoneticPr fontId="1" type="noConversion"/>
  </si>
  <si>
    <t>機構 Jerry</t>
    <phoneticPr fontId="1" type="noConversion"/>
  </si>
  <si>
    <t>張庭盛</t>
    <phoneticPr fontId="1" type="noConversion"/>
  </si>
  <si>
    <t>採購課長 Darren</t>
    <phoneticPr fontId="1" type="noConversion"/>
  </si>
  <si>
    <t>MM40G3U65B想提早，待確認貨運後2/24回覆</t>
    <phoneticPr fontId="1" type="noConversion"/>
  </si>
  <si>
    <t>目前NDA部分已提供給公司法務確認，確認後就會立即提供負極、Pre-charge圖面讓我們確認。
因目前手邊的案子約50套，Fuse 會先下HCHVF1000-350A-38R*50pcs，Relay三款會各下50pcs。
預計齊料時間會在4月底~最晚五月中，如果來的集會優先用HIITIO的生產，但如果來不及就會先選擇用原本的。</t>
    <phoneticPr fontId="1" type="noConversion"/>
  </si>
  <si>
    <t>勝鐵</t>
    <phoneticPr fontId="1" type="noConversion"/>
  </si>
  <si>
    <t>鄒老闆</t>
    <phoneticPr fontId="1" type="noConversion"/>
  </si>
  <si>
    <t>協調二極體訂單，協調MOQ 120pcs，明天下單。</t>
    <phoneticPr fontId="1" type="noConversion"/>
  </si>
  <si>
    <t>RD Alvin</t>
    <phoneticPr fontId="1" type="noConversion"/>
  </si>
  <si>
    <t>目前都在跑另一台設備的認證，IGBT要到Q2才有機會測試。
約碰面重新確認目前狀況與競爭關係及未來配合方式，約周三下午1500</t>
    <phoneticPr fontId="1" type="noConversion"/>
  </si>
  <si>
    <t>100A PIM對獅門還是覺得不太OK，轉討論MMG100W060XB6TC，約周三1300碰面討論</t>
    <phoneticPr fontId="1" type="noConversion"/>
  </si>
  <si>
    <t>機構 武雄</t>
    <phoneticPr fontId="1" type="noConversion"/>
  </si>
  <si>
    <t>目前Relay只有廠內測試，50A、300A都沒問提，但後續小量測試要先出去幾台目前還沒有討論，現在人手吃緊，也沒有人力有辦法同時進行Cost Down這邊的事情，還是需要到Q2比較有時間再繼續Cost Down的進度。</t>
    <phoneticPr fontId="1" type="noConversion"/>
  </si>
  <si>
    <t>確認FRED交貨時間，目前針對MM15F060K1已經先跟安川說明，但目前尚未有回覆</t>
    <phoneticPr fontId="1" type="noConversion"/>
  </si>
  <si>
    <t>未接，郵件約訪</t>
    <phoneticPr fontId="1" type="noConversion"/>
  </si>
  <si>
    <t>未接，Line約訪</t>
    <phoneticPr fontId="1" type="noConversion"/>
  </si>
  <si>
    <t>RD 王先生</t>
    <phoneticPr fontId="1" type="noConversion"/>
  </si>
  <si>
    <t>討論獅門15A/1200V、30A/650V EasyPIM產品，用於拋光設備用伺服馬達驅動，預計各下單5pcs樣品測試，目前案子老闆還在談，手邊現在是用Infineon的產品，過去出的比較少，久沒買了還有庫存。</t>
    <phoneticPr fontId="1" type="noConversion"/>
  </si>
  <si>
    <t>採購 張小姐</t>
    <phoneticPr fontId="1" type="noConversion"/>
  </si>
  <si>
    <t>之前FUJI 的價格15A是NT$295、30A是NT$310，但是是2022年的價格，會再提供新的報價。</t>
    <phoneticPr fontId="1" type="noConversion"/>
  </si>
  <si>
    <t>電能詢價單，MMG600K120U6TC、MMF300YB050U 訂單MOQ數量協調</t>
    <phoneticPr fontId="1" type="noConversion"/>
  </si>
  <si>
    <t>Buyer</t>
    <phoneticPr fontId="1" type="noConversion"/>
  </si>
  <si>
    <t>新代今年生意預估上升20-25%，目前蘇州IGBT未來預估沒有提供，預計下次下單是6月左右。
既有產品要談MOQ跟價格都是找Amanda，本週請假預計下周上班。</t>
    <phoneticPr fontId="1" type="noConversion"/>
  </si>
  <si>
    <t>聽完HIITIO介紹後有去跟主管David報告新廠商，過去明創有發生過Relay大規模沾黏的狀況所以目前不敢試，現在主要是用TDK的Relay搭配Eaton的Fuse去做設計，預計3月整個PDU會設計完成，走一段時間驗證設計沒有問題後預計Q3再來討論HIITIO的產品導入。
目前先持續保持聯絡培養關係為主。</t>
    <phoneticPr fontId="1" type="noConversion"/>
  </si>
  <si>
    <t>採購Candy</t>
    <phoneticPr fontId="1" type="noConversion"/>
  </si>
  <si>
    <t>陳順吉</t>
    <phoneticPr fontId="1" type="noConversion"/>
  </si>
  <si>
    <t>100A PIM目前都是用斯達，品質算穩定，由於去年遇過MMG100W060XB6TC下年單無法交貨的狀況會有些疑慮。
溝通後要重新測試，從10pcs--&gt;30pcs--&gt;批量
年用量預計170-200pcs，後續宏微走到批量會跟斯達各半。</t>
    <phoneticPr fontId="1" type="noConversion"/>
  </si>
  <si>
    <t>RD 韓家仲</t>
    <phoneticPr fontId="1" type="noConversion"/>
  </si>
  <si>
    <t>目前另一機種8KW 用IPM因國外客戶要求在跑UL認證中。
MMG75WD120XB6TC的認證會延後至4-5月
用於氣冷大型分離商用空調、水冷商用空調，一年500pcs。
競爭狀況 : FUJI ( 既有Source ) 、 MacMic、三菱
由於三菱版本頻繁更新，RD測試意願度不高，後續PIM測試由我們的優先。
現階段目標是不讓三菱上BOM表。
由於根茂收掉，後續聯昌找的代工廠還在跟東元溝通中，未來還是會由聯昌依照東元給的BOM表下單。
目前冷凝機組驅動 ( 超商開放式冰箱) 交集
GBJ整流 ( 單、三相) + IGBT、FRED Discrete (PFC)  一台各1pc
用量約1K/年，會提供目前手邊的規格請我介紹。</t>
    <phoneticPr fontId="1" type="noConversion"/>
  </si>
  <si>
    <t>IQC 黃漢祥</t>
    <phoneticPr fontId="1" type="noConversion"/>
  </si>
  <si>
    <t>X350整機耐壓測試時 ( 5mA / 4kV 標準是打10秒 )，一打馬上就有火花並造成短路，同時也造成150A IGBT短路、SanRex 三相橋損壞</t>
    <phoneticPr fontId="1" type="noConversion"/>
  </si>
  <si>
    <t>週一約訪</t>
    <phoneticPr fontId="1" type="noConversion"/>
  </si>
  <si>
    <t>約訪碰面，確認DCDC跟其他半導體的需求狀況</t>
    <phoneticPr fontId="1" type="noConversion"/>
  </si>
  <si>
    <t>許協理</t>
    <phoneticPr fontId="1" type="noConversion"/>
  </si>
  <si>
    <t>韋經理</t>
    <phoneticPr fontId="1" type="noConversion"/>
  </si>
  <si>
    <t>目前MMG75W120XB6TC從2025/5出去都沒什麼問題，但量產的部分目前都丟給採購，他這邊現階段也沒什麼新研發。
老闆哥哥的兒子目前也在研發部門，主要負責軟體，出差再約時間跟他碰個面。</t>
    <phoneticPr fontId="1" type="noConversion"/>
  </si>
  <si>
    <t>RD Ryan</t>
    <phoneticPr fontId="1" type="noConversion"/>
  </si>
  <si>
    <t>硬體主管 Nick</t>
    <phoneticPr fontId="1" type="noConversion"/>
  </si>
  <si>
    <t>表明會帶RECOM原廠的人去跟他們碰面，相信能夠提供更完整的產品宇更專業的服務，說要去跟RD討論一下，不願直接提供窗口，下周確認。</t>
    <phoneticPr fontId="1" type="noConversion"/>
  </si>
  <si>
    <t>目前MOS的部分UTC的測得還不錯( 900V還是1500V要確認一下)  其他都fail。
約下周二討論中壓1000V跟低壓200V的MOS，另外AC/DC會考慮外購，但DC/DC 隔離電壓要1500VDC Continue，因為RECOM的都只能撐1min不太適合，所以DCDC會打算自己做
先約3/11上午10:00帶Louis過去碰面討論。</t>
    <phoneticPr fontId="1" type="noConversion"/>
  </si>
  <si>
    <t xml:space="preserve">重新提供Maspower FRED跟DCDC 報價，FRED直接報1000pcs，近期產線吃緊，吳經理自己也要下去協助，3月份目前都沒有時間，先電話討論FRED跟DCDC </t>
    <phoneticPr fontId="1" type="noConversion"/>
  </si>
  <si>
    <t>約周一下午1600碰面順便交NDA正本</t>
    <phoneticPr fontId="1" type="noConversion"/>
  </si>
  <si>
    <t>W10</t>
    <phoneticPr fontId="1" type="noConversion"/>
  </si>
  <si>
    <t>目前AX350的狀態確認</t>
    <phoneticPr fontId="1" type="noConversion"/>
  </si>
  <si>
    <t>IQC 黃漢翔</t>
    <phoneticPr fontId="1" type="noConversion"/>
  </si>
  <si>
    <t>GIS800師小品狀況確認、入料檢驗狀況、取回失效品</t>
    <phoneticPr fontId="1" type="noConversion"/>
  </si>
  <si>
    <t>NDA正本提供，目前pack有分電動農機具、儲能跟BBU，但目前只有儲能有訂單。</t>
    <phoneticPr fontId="1" type="noConversion"/>
  </si>
  <si>
    <t>只管規格，其他東西是PM再詢，基本上都是MINMAX，目前沒有什麼特別的需求，也沒打算找其他廠商</t>
    <phoneticPr fontId="1" type="noConversion"/>
  </si>
  <si>
    <t>EK330訂單</t>
    <phoneticPr fontId="1" type="noConversion"/>
  </si>
  <si>
    <t>現在手邊的案子都是用MINMAX，</t>
    <phoneticPr fontId="1" type="noConversion"/>
  </si>
  <si>
    <t>Alex</t>
    <phoneticPr fontId="1" type="noConversion"/>
  </si>
  <si>
    <t>何啟源</t>
    <phoneticPr fontId="1" type="noConversion"/>
  </si>
  <si>
    <t>協欣</t>
    <phoneticPr fontId="1" type="noConversion"/>
  </si>
  <si>
    <t>林副理</t>
    <phoneticPr fontId="1" type="noConversion"/>
  </si>
  <si>
    <t>目前電源都直接外購，大約都是30KW左右的電源，沒有像鎧泰自己做，目前也還沒有用到SiC，有在跟德國廠商討論中，目前有半導體業有1-2kV的脈衝設備相關需求，但尚未明確。</t>
    <phoneticPr fontId="1" type="noConversion"/>
  </si>
  <si>
    <t>改時間</t>
    <phoneticPr fontId="1" type="noConversion"/>
  </si>
  <si>
    <t>要求碰面，給詢價郵件</t>
    <phoneticPr fontId="1" type="noConversion"/>
  </si>
  <si>
    <t>RD Cloud</t>
    <phoneticPr fontId="1" type="noConversion"/>
  </si>
  <si>
    <t>目前較為常見是5V轉5V，現在用Minmax較多，沒有特別的認證，請我提供RECOM的產品型錄看一下，針對目前在用的DCDC 只說是小瓦數、SMD型的，其他規格不願多說</t>
    <phoneticPr fontId="1" type="noConversion"/>
  </si>
  <si>
    <t>要求先談過之後爭取更好的價格、目前3/11上午採購時間上可以、但是RD有3位，下周剛好公司安排健檢，要再去確認一下RD的時間，可是報價一樣是要先用代理商的價格先報一次價格。</t>
    <phoneticPr fontId="1" type="noConversion"/>
  </si>
  <si>
    <t>RD潘R</t>
    <phoneticPr fontId="1" type="noConversion"/>
  </si>
  <si>
    <t>DAXIN失效品問題回覆</t>
    <phoneticPr fontId="1" type="noConversion"/>
  </si>
  <si>
    <t>輔電部分不一定有做，有部分是讓客戶自己去買，如果有生產的全部都是明緯。
目前煞車的IGBT跟二極體過去還有跟Infineon分，現在只有我們獨佔，後續量體會再增加。
Module部分全系列開始更換斯達的產品，會逐步淘汰三菱跟富士。
除非斯達100%導入後才有可能會開始找2nd Source或是部分再找替代料，近期不會找其他Source。
主要還是focus在交貨直接交蘇州、付款直接由蘇州付人民幣、技術支援跟催貨拉貨能夠直接跟宏微對話，在新代能碰到原廠的前提下價格還要比斯達原廠便宜才有機會。</t>
    <phoneticPr fontId="1" type="noConversion"/>
  </si>
  <si>
    <t>訂單Pull in需求</t>
    <phoneticPr fontId="1" type="noConversion"/>
  </si>
  <si>
    <t>用亞元的AC/DC  目前買的價格不到NTD150，價格接近比較有機會討論</t>
    <phoneticPr fontId="1" type="noConversion"/>
  </si>
  <si>
    <t>約訪碰面討論</t>
    <phoneticPr fontId="1" type="noConversion"/>
  </si>
  <si>
    <t>採購Ken</t>
    <phoneticPr fontId="1" type="noConversion"/>
  </si>
  <si>
    <t>新採購聯絡，由於近期家裡有事不會在公司，先發Mail 說明一下目前RD的進度，並要求確認Fuse訂單。</t>
    <phoneticPr fontId="1" type="noConversion"/>
  </si>
  <si>
    <t>約訪討論RECOM DCDC</t>
    <phoneticPr fontId="1" type="noConversion"/>
  </si>
  <si>
    <t>目前確定選用RACM60+RACM30的方案，預計Q2送實驗室，Q3討論小量下單。</t>
    <phoneticPr fontId="1" type="noConversion"/>
  </si>
  <si>
    <t>EK200、EK330仍在客戶端測試中，預計Q3會再下一批小量。
另討論EK60*240、EK110*120 TSMC建廠的溫控設備追加訂單</t>
    <phoneticPr fontId="1" type="noConversion"/>
  </si>
  <si>
    <t>採購吳S</t>
    <phoneticPr fontId="1" type="noConversion"/>
  </si>
  <si>
    <t>EK60、EK110、Discrete小量都還沒裝出去測試，目前訂單都是用EK40的機種，預計要四月才有機會。</t>
    <phoneticPr fontId="1" type="noConversion"/>
  </si>
  <si>
    <t>目前IGBT Rg調整後仍在測試中，預計也要抓3個月才有機會討論下一批小量。</t>
    <phoneticPr fontId="1" type="noConversion"/>
  </si>
  <si>
    <t>約3/12下午碰面談鐵粉芯</t>
    <phoneticPr fontId="1" type="noConversion"/>
  </si>
  <si>
    <t>儲能案的Relay都用HF，從大陸直接拿，半成品進來。
目前車用DCDC因為尺寸關係都用IC
標準電池模組因為後續沒有訂單也pending，目前沒什麼交集。</t>
    <phoneticPr fontId="1" type="noConversion"/>
  </si>
  <si>
    <t>PV劉宗憲</t>
    <phoneticPr fontId="1" type="noConversion"/>
  </si>
  <si>
    <t>目前30、60KW仍在測試中，預計要到Q2，時間點要再確認</t>
    <phoneticPr fontId="1" type="noConversion"/>
  </si>
  <si>
    <t>EE Tony</t>
    <phoneticPr fontId="1" type="noConversion"/>
  </si>
  <si>
    <t>和碩</t>
    <phoneticPr fontId="1" type="noConversion"/>
  </si>
  <si>
    <t>RD Julien</t>
    <phoneticPr fontId="1" type="noConversion"/>
  </si>
  <si>
    <t>與PDU RD Julien約碰面介紹HIITIO，以提供目前HF、Little Fuse型號請我提供方案。
本週碰面前先致電確認目前PDU部門的進度、狀態、生意模式以及現在的Size。</t>
    <phoneticPr fontId="1" type="noConversion"/>
  </si>
  <si>
    <t>目前主要都是Pack衍生的電動跑車/船/農機具、儲能案子基本上不會用到DCDC，載具會有另一顆小電池供12V電不需要DCDC，過去只有BBU中的Pack原本有打算包含DCDC，且因為希望能夠將電動載具、儲能的板子都一起共用所以選用Vicro的500W DCDC做實驗，但目前BBU討論的都是POWER廠，DCDC目前會由客戶端自己做，目前沒有DCDC需求。
BBU Battery Pack內的開關目前一樣是用Relay，尚未定案最後是Relay還是SiC。</t>
    <phoneticPr fontId="1" type="noConversion"/>
  </si>
  <si>
    <t>高壓MOS : 目前UTC單元件剛測過，尚未進行整機測試，性能比MP差一點( 1200V 100度C  Pd : MP-85W、UTC-80W )，但價格也比MP好一點 (NT39)。
中壓MOS : 目前量應該不到50K/年，目前只有MP單元件有過，APEC的庫存大概還有20-30K，預計能撐到Q3，如MP的12N100能夠提供200 free sample  會以MP為主料。
低壓MOS : 目前AUK MOS有問題待驗證，還有IR的MOS可以用，會先提供33A、50A/200V MP的MOS報價 (目前價格約NT15.5)後再來討論。
目前Load都只有輔電會用到Converter
舊機種ACDC、DCDC都是明緯，但未來TUV、UL整機驗證不會過，所以新機要重新Sourcing。
新機種目前需要130W AC/DC 轉24V*1，轉5V、正負15V以及後段DCDC預計自己做。
預計用量約1.5-3K/年。</t>
    <phoneticPr fontId="1" type="noConversion"/>
  </si>
  <si>
    <t>樹林廠到6月，後續狀態未知，仍須跑新竹確認狀態。</t>
    <phoneticPr fontId="1" type="noConversion"/>
  </si>
  <si>
    <t>MacMic產品漲價通知</t>
    <phoneticPr fontId="1" type="noConversion"/>
  </si>
  <si>
    <t>劉春蘭</t>
    <phoneticPr fontId="1" type="noConversion"/>
  </si>
  <si>
    <t>W11</t>
    <phoneticPr fontId="1" type="noConversion"/>
  </si>
  <si>
    <t xml:space="preserve">RECOM會議之前先行碰面確認需求與產品。
目前市電進來(110V、220V) 會有一個CHASSIS AC/DC 65W/120V 轉12V，再經由DC/DC從12--&gt;15V、12V--&gt;9V (在自己用LDO把電從15V轉12V、9V轉5V，降低 板子供電。
另AC/DC 160W-300W  轉12V、24V、48V (看客戶電池要求) ，另外會看安培數決定要併幾顆，充電池用，電池充飽後會接到MOS放電達成充放電功能
過去都用金昇陽，但美國限制沒辦法用，所以轉用明緯
</t>
    <phoneticPr fontId="1" type="noConversion"/>
  </si>
  <si>
    <t>MOS  申請TO-247 3A 1.5KV-2KV 樣品*3，約下周二碰面，順便討論整流橋。</t>
    <phoneticPr fontId="1" type="noConversion"/>
  </si>
  <si>
    <t>IQC 漢祥</t>
    <phoneticPr fontId="1" type="noConversion"/>
  </si>
  <si>
    <t>GIS800失效第2、3pcs，失效狀況同2/26</t>
    <phoneticPr fontId="1" type="noConversion"/>
  </si>
  <si>
    <t>合碩</t>
    <phoneticPr fontId="1" type="noConversion"/>
  </si>
  <si>
    <t>Julien</t>
    <phoneticPr fontId="1" type="noConversion"/>
  </si>
  <si>
    <t>約訪週四碰面介紹EIT、HIITIO，會先提供目前Little Fuse與HF Relay型號。</t>
    <phoneticPr fontId="1" type="noConversion"/>
  </si>
  <si>
    <t>GIS800第4pcs失效，狀況確認，安排本周取回分析</t>
    <phoneticPr fontId="1" type="noConversion"/>
  </si>
  <si>
    <t>得意節能</t>
    <phoneticPr fontId="1" type="noConversion"/>
  </si>
  <si>
    <t>開發部 許智傑</t>
    <phoneticPr fontId="1" type="noConversion"/>
  </si>
  <si>
    <t>新案冷凍櫃用IGBT，需求MMG75H060XB6EN，改推EG75K1LT-065P ( GHD封裝 )，先去確認一下改封裝是否OK。</t>
    <phoneticPr fontId="1" type="noConversion"/>
  </si>
  <si>
    <t>MEAN WELL ACDC 確認產品不符需求的問題點並重新確認隔日RECOM原廠安排的時間及流程。</t>
    <phoneticPr fontId="1" type="noConversion"/>
  </si>
  <si>
    <t>Uma</t>
    <phoneticPr fontId="1" type="noConversion"/>
  </si>
  <si>
    <t>GIS800失效狀況頻繁，安排隔日下午至福峰了解狀況並帶回失效品。</t>
    <phoneticPr fontId="1" type="noConversion"/>
  </si>
  <si>
    <t>時間、地點、與會人員確認並協助訪客申請，目前PDU案為過去既有客戶代工ODM，非研究性質。</t>
    <phoneticPr fontId="1" type="noConversion"/>
  </si>
  <si>
    <t>RECOM會議</t>
    <phoneticPr fontId="1" type="noConversion"/>
  </si>
  <si>
    <t>RECOM會議，ACDC產品推薦，DCDC客製需求、尺寸需求確認。
本週確認產品目標價，並要求RECOM進行產品推薦並與RECOM詢價</t>
    <phoneticPr fontId="1" type="noConversion"/>
  </si>
  <si>
    <t>RECOM會議，本週確認目標價並與RECOM詢價。</t>
    <phoneticPr fontId="1" type="noConversion"/>
  </si>
  <si>
    <t>PDU 部門RD Julien、Eric</t>
    <phoneticPr fontId="1" type="noConversion"/>
  </si>
  <si>
    <t>陌生開發PDU部門，目前手上的案子是冷凍貨車的PDU，為歐美客戶ODM生意，客戶以前就用HF+LittleFuse所以沿用，目前整機機構已定案，若Pin2Pin才有機會改，此案沒機會。
介紹EIT、HIITIO產品，會再協助介紹採購給我，並同時協助推荐BU8充電樁那邊的窗口。</t>
    <phoneticPr fontId="1" type="noConversion"/>
  </si>
  <si>
    <t>劉董、張協理</t>
    <phoneticPr fontId="1" type="noConversion"/>
  </si>
  <si>
    <t>GIS800 失效處理</t>
    <phoneticPr fontId="1" type="noConversion"/>
  </si>
  <si>
    <t>AX350目前安川全面不用陸牌，除非有其他國家產品不然沒有機會。</t>
    <phoneticPr fontId="1" type="noConversion"/>
  </si>
  <si>
    <t>IGBT漲價，會再排300pcs來。
鐵粉芯請我提供UU型產品概略報價她評估看看價格是否有競爭力繼續，目前開模客製4款UU型鐵粉芯，會再找規格書給我。
都是3-5年拉一貨櫃進來，預估每款都至少8K以上，再去跟恆創詢問價格。</t>
    <phoneticPr fontId="1" type="noConversion"/>
  </si>
  <si>
    <t>目前Hinode GHX125 Fuse 價格高 (NT250)，有聽我們之前有提過有DC Fuse也可以到690VAC。
電話中以說明沒有辦法保證也沒有寫在規格書上，但仍希望我週二找時間過去一趟跟瑞鴻討論這件事情，會嘗試跟其他SCR兜在一起跟他們談。</t>
    <phoneticPr fontId="1" type="noConversion"/>
  </si>
  <si>
    <t>提供E4MM1-150F MOS規格+漲價通知，暫約下周二碰面，時間周一要再確認</t>
    <phoneticPr fontId="1" type="noConversion"/>
  </si>
  <si>
    <t>臨時會議改下週三碰面，目前HVDC Relay用HF、YM，100A-300A ，下周先提供HIITIO環氧Relay規格。</t>
    <phoneticPr fontId="1" type="noConversion"/>
  </si>
  <si>
    <t>採購 關小姐</t>
    <phoneticPr fontId="1" type="noConversion"/>
  </si>
  <si>
    <t>MM產品漲價，約周二下午1330跟關小姐以及主管碰面討論，RD部分時間要周一才有辦法確定。</t>
    <phoneticPr fontId="1" type="noConversion"/>
  </si>
  <si>
    <t>採購 Wendy</t>
    <phoneticPr fontId="1" type="noConversion"/>
  </si>
  <si>
    <t>漲價通知，目前先多排一批來，會再提供漲價購價格通知，Wendy希望能漲在5%內，但也不願意安排時間碰面，本週提供漲價後報價。</t>
    <phoneticPr fontId="1" type="noConversion"/>
  </si>
  <si>
    <t>採購 楊S</t>
    <phoneticPr fontId="1" type="noConversion"/>
  </si>
  <si>
    <t>整流橋MMD110A160B漲價通知與需求協調，要求直接下500pcs 目前跟主管討論中。</t>
    <phoneticPr fontId="1" type="noConversion"/>
  </si>
  <si>
    <t>PIM 半年用各64，不願意排單也不願意多下，約下周二or三出差時過去討論漲價的產品與價格。</t>
    <phoneticPr fontId="1" type="noConversion"/>
  </si>
  <si>
    <t>公司還是決定3種Relay跟1000V的Fuse在量產前要先各買1pcs做測試。
目前50pcs Fuse的訂單被主管卡著，上周五ME已開三款Relay+Fuse各1pcs請購單，Sample測試約1-2週沒問題的話Fuse訂單就會下來。</t>
    <phoneticPr fontId="1" type="noConversion"/>
  </si>
  <si>
    <t>W12</t>
    <phoneticPr fontId="1" type="noConversion"/>
  </si>
  <si>
    <t>關小姐</t>
    <phoneticPr fontId="1" type="noConversion"/>
  </si>
  <si>
    <t>MacMic 漲價通知，約訪採購關小姐及簡課長討論產品漲價。</t>
    <phoneticPr fontId="1" type="noConversion"/>
  </si>
  <si>
    <t>程建志</t>
    <phoneticPr fontId="1" type="noConversion"/>
  </si>
  <si>
    <t>Hinode Fuse問題確認碰面時間，同時討論SCR Module</t>
    <phoneticPr fontId="1" type="noConversion"/>
  </si>
  <si>
    <t>政府補助電路板名目預付款討論，目前補助約15W/年，26、27年各一批，目前需求產品與補助款時間仍在確認中。</t>
    <phoneticPr fontId="1" type="noConversion"/>
  </si>
  <si>
    <t>MacMic漲價通知，後續排單數量與交期確認。</t>
    <phoneticPr fontId="1" type="noConversion"/>
  </si>
  <si>
    <t>線材客製端子、線長問題確認，已重新提供圖面。</t>
    <phoneticPr fontId="1" type="noConversion"/>
  </si>
  <si>
    <t>MacMic產品漲價通知，討論後續排單</t>
    <phoneticPr fontId="1" type="noConversion"/>
  </si>
  <si>
    <t>確認Relay、Fuse產品需求，提供報價。</t>
    <phoneticPr fontId="1" type="noConversion"/>
  </si>
  <si>
    <t>張協理</t>
    <phoneticPr fontId="1" type="noConversion"/>
  </si>
  <si>
    <t>約訪碰面，確認漲價前的排單以及目前庫存數量、訂單數量比例等問題。</t>
    <phoneticPr fontId="1" type="noConversion"/>
  </si>
  <si>
    <t>約訪碰面確認6KW AC/DC 產品需求與用途，並要求採購廖課長一同碰面確認CONVERTER目標價。</t>
    <phoneticPr fontId="1" type="noConversion"/>
  </si>
  <si>
    <t>採購簡課長、RD陳R</t>
    <phoneticPr fontId="1" type="noConversion"/>
  </si>
  <si>
    <t>產品漲價通知，確認目前100A PIM無競爭狀況，MMG150S剛下500pcs 排到27年，PIM會先將漲價後價格報上去，與Sales部門一同開會確認後會先排後面的訂單。
現階段永大舊案用整流橋+IPM，現階段沒有理由做更動。
目前新案只有初步設計，但由於政府建築法規遲遲沒有更新，新案也處於Pending狀態，目前不花太多時間。</t>
    <phoneticPr fontId="1" type="noConversion"/>
  </si>
  <si>
    <t>125A Fuse 尺寸不合沒有機會，EK60、EK110提供報價評估，用量50-60pcs/年，EK600用量約10-20pcs/年。
目前小顆的都還有庫存，報價後再電話追蹤兜一張訂單就好，沒有跑一趟的必要。</t>
    <phoneticPr fontId="1" type="noConversion"/>
  </si>
  <si>
    <t>MacMic產品漲價通知，Sourcer AMANDA出差~3月底，不願提供微信等方式讓我電話跟她聯繫，請Buyer傳達相關訊息建議後續訂單先下。另董事長插單，FRED急單協助空運。
補下訂單，IGBT*9K、FRED*21K</t>
    <phoneticPr fontId="1" type="noConversion"/>
  </si>
  <si>
    <t>MacMic 產品訂單交期確認。</t>
    <phoneticPr fontId="1" type="noConversion"/>
  </si>
  <si>
    <t>MacMic產品漲價通知，去認庫存，約訪下週二碰面討論。</t>
    <phoneticPr fontId="1" type="noConversion"/>
  </si>
  <si>
    <t xml:space="preserve">林經理 </t>
    <phoneticPr fontId="1" type="noConversion"/>
  </si>
  <si>
    <t>約訪失敗，目前EK白色系列剛出去一個月左右，預計驗證6-9個月才會再下單下一批，EK330、EK600此次下單的量大約可以用到27年Q2左右，目前也沒有其他產品要談，預計要Q3左右才有可能再下單，婉拒拜訪。</t>
    <phoneticPr fontId="1" type="noConversion"/>
  </si>
  <si>
    <t>張協理、UMA、生管</t>
    <phoneticPr fontId="1" type="noConversion"/>
  </si>
  <si>
    <t>RD主管臨時有事，介紹HIITIO Relay、Fuse，目前都用YM Relay 100A-300A/1000V，用量約30-50/年，推薦HIITIO HCZ產品，再提供報價。
另RECOM DCDC 目前CTC價格接近NT180，目前沒有新機種要做板子，可能至少要9-12個月後才有可能出新機，再跟RECOM詢RY-0505S的價格試試看，若都沒有意願動就不花時間了。</t>
    <phoneticPr fontId="1" type="noConversion"/>
  </si>
  <si>
    <t>目前6KW A/D 吃380市電，轉為360VDC充電池用，此產品為近2年設計的新機種，原本設計是用國電賽思的4KW A/D ，約1w多台幣，但陸品設計較為極限，會需要額外空間做保護，故更換為MEAN WELL  5KW A/D 金額約2.5w台幣，目前希望能再增加到6KW已漸少並聯數量，用量10-20/年。
已提供所有產品目前購買的價格，再報價給他。
並已告知若RECOM 發信，不須理會及回覆，直接對EIT即可。</t>
    <phoneticPr fontId="1" type="noConversion"/>
  </si>
  <si>
    <t>MacMic 產品漲價通知與後續訂單確認</t>
    <phoneticPr fontId="1" type="noConversion"/>
  </si>
  <si>
    <t>目前電巴用PDU剛做出來，目前手邊的Source主要還是TDK+Littelfuse，Relay還有HF的也有用過，約下周一碰面交流，重新再了解一次。</t>
    <phoneticPr fontId="1" type="noConversion"/>
  </si>
  <si>
    <t>AUO</t>
    <phoneticPr fontId="1" type="noConversion"/>
  </si>
  <si>
    <t>Connor</t>
    <phoneticPr fontId="1" type="noConversion"/>
  </si>
  <si>
    <t>直接語音</t>
    <phoneticPr fontId="1" type="noConversion"/>
  </si>
  <si>
    <t>建Code文件取得，由於線材客製圖面有調整，價格會重新再提供一次。</t>
    <phoneticPr fontId="1" type="noConversion"/>
  </si>
  <si>
    <t>現在都還在忙歐美PRIME系列的案子，IRON系列要到Q2才有可能繼續，沒有時間多談，約訪失敗，之後再連絡。</t>
    <phoneticPr fontId="1" type="noConversion"/>
  </si>
  <si>
    <t>已離職</t>
    <phoneticPr fontId="1" type="noConversion"/>
  </si>
  <si>
    <t>電貨車RD 潘R</t>
    <phoneticPr fontId="1" type="noConversion"/>
  </si>
  <si>
    <t>RD Carol</t>
    <phoneticPr fontId="1" type="noConversion"/>
  </si>
  <si>
    <t>提供100A、200A 三相整流SC替代方案，並約周二碰面重新討論後續配合。</t>
    <phoneticPr fontId="1" type="noConversion"/>
  </si>
  <si>
    <t>採購蔡S</t>
    <phoneticPr fontId="1" type="noConversion"/>
  </si>
  <si>
    <t>沒有時間碰面，周一換時間再要求一次。</t>
    <phoneticPr fontId="1" type="noConversion"/>
  </si>
  <si>
    <t>蔡易達</t>
    <phoneticPr fontId="1" type="noConversion"/>
  </si>
  <si>
    <t>楊S</t>
    <phoneticPr fontId="1" type="noConversion"/>
  </si>
  <si>
    <t>約訪討論MacMic產品價格討論，目前老闆對於排單很抗拒。</t>
    <phoneticPr fontId="1" type="noConversion"/>
  </si>
  <si>
    <t>大陸緊急有事情出國，要四月初才會回台。</t>
    <phoneticPr fontId="1" type="noConversion"/>
  </si>
  <si>
    <t>林經理JERRY</t>
    <phoneticPr fontId="1" type="noConversion"/>
  </si>
  <si>
    <t>推薦HIITIO Relay、Fuse，目前主要交集為充電樁、PDU與BMS，Relay 用100A、200A、550A/1000V、Fuse用50A、100A、250A、630A / 1000V，郵件先提供推薦方案，約周二下午碰面介紹與交流。</t>
    <phoneticPr fontId="1" type="noConversion"/>
  </si>
  <si>
    <t>謝順明</t>
    <phoneticPr fontId="1" type="noConversion"/>
  </si>
  <si>
    <t>目前鎮宏牌CO0焊機設計完成，用我們的SCR正在測試中，約訪碰面確認進度與討論後續訂單。</t>
    <phoneticPr fontId="1" type="noConversion"/>
  </si>
  <si>
    <t>約訪討論MacMic漲價狀況，碰面要求把三菱的份額多轉過來一點。</t>
    <phoneticPr fontId="1" type="noConversion"/>
  </si>
  <si>
    <t>許智傑</t>
    <phoneticPr fontId="1" type="noConversion"/>
  </si>
  <si>
    <t>約週四下午碰面，周一再確認一次，討論目前冷凍櫃壓縮機驅動IGBT。</t>
    <phoneticPr fontId="1" type="noConversion"/>
  </si>
  <si>
    <t>林進聰</t>
    <phoneticPr fontId="1" type="noConversion"/>
  </si>
  <si>
    <t>壓接SCR約訪討論價格調整，週四碰面討論。</t>
    <phoneticPr fontId="1" type="noConversion"/>
  </si>
  <si>
    <t>Delta 台南</t>
    <phoneticPr fontId="1" type="noConversion"/>
  </si>
  <si>
    <t>李祥源</t>
    <phoneticPr fontId="1" type="noConversion"/>
  </si>
  <si>
    <t>轉去氫能部門，目前無其他交集點，沒有其他窗口可介紹。</t>
    <phoneticPr fontId="1" type="noConversion"/>
  </si>
  <si>
    <t>Delta 中壢</t>
    <phoneticPr fontId="1" type="noConversion"/>
  </si>
  <si>
    <t>約訪週三碰面重新討論模組式SCR。</t>
    <phoneticPr fontId="1" type="noConversion"/>
  </si>
  <si>
    <t>希望100A PIM少漲10塊錢，這樣就不會被列在追蹤料件的清單上。</t>
    <phoneticPr fontId="1" type="noConversion"/>
  </si>
  <si>
    <t>ITRI</t>
    <phoneticPr fontId="1" type="noConversion"/>
  </si>
  <si>
    <t>高國書</t>
    <phoneticPr fontId="1" type="noConversion"/>
  </si>
  <si>
    <t>GWB外殼訂單確認，約四月初碰面討論RECOM Converter產品，會幫我約負責的RD。</t>
    <phoneticPr fontId="1" type="noConversion"/>
  </si>
  <si>
    <t>約訪討論MacMic產品價格討論。</t>
    <phoneticPr fontId="1" type="noConversion"/>
  </si>
  <si>
    <t>DELTA 台南</t>
    <phoneticPr fontId="1" type="noConversion"/>
  </si>
  <si>
    <t>Allen</t>
    <phoneticPr fontId="1" type="noConversion"/>
  </si>
  <si>
    <t>目前PV沒有用Relay、無交集，沒有特別認識其他人可以推薦</t>
    <phoneticPr fontId="1" type="noConversion"/>
  </si>
  <si>
    <t>目前還有約2年庫存，現在用的料件都不會更換，不花時間過去一趟。</t>
    <phoneticPr fontId="1" type="noConversion"/>
  </si>
  <si>
    <t>介宏興</t>
    <phoneticPr fontId="1" type="noConversion"/>
  </si>
  <si>
    <t>MacMic 漲價通知約訪討論。</t>
    <phoneticPr fontId="1" type="noConversion"/>
  </si>
  <si>
    <t>發票銷貨單發錯、漲價喬訂單</t>
    <phoneticPr fontId="1" type="noConversion"/>
  </si>
  <si>
    <t>確認訂單、發票重新寄送</t>
    <phoneticPr fontId="1" type="noConversion"/>
  </si>
  <si>
    <t>MacMic漲價通知碰面討論</t>
    <phoneticPr fontId="1" type="noConversion"/>
  </si>
  <si>
    <t>建Code文件要求，FUSE*50訂單有拿到確定會下，CODE沒建無法下單</t>
    <phoneticPr fontId="1" type="noConversion"/>
  </si>
  <si>
    <t>神達電腦</t>
    <phoneticPr fontId="1" type="noConversion"/>
  </si>
  <si>
    <t>陳永翰</t>
    <phoneticPr fontId="1" type="noConversion"/>
  </si>
  <si>
    <t>從來穎離職去神達，做Server power，介紹半導體、Relay、銅條、RECOM，月四月初碰面</t>
    <phoneticPr fontId="1" type="noConversion"/>
  </si>
  <si>
    <t>目前較轉型做可攜式復健儀器，A/D使用瓦數會從原本的60、90W降低為30W，目前有做出初期的prototype，約碰面討論並推薦RACM30</t>
    <phoneticPr fontId="1" type="noConversion"/>
  </si>
  <si>
    <t>機構Jerry</t>
    <phoneticPr fontId="1" type="noConversion"/>
  </si>
  <si>
    <t>PDU Relay目前選用TDK、HF 部分客製產品+Eaton Fuse，主要因為沒有電車實績不敢用，若有其他成績才有可能。</t>
    <phoneticPr fontId="1" type="noConversion"/>
  </si>
  <si>
    <t>PO都在採購端已確認，等Code建好後就可以發訂單</t>
    <phoneticPr fontId="1" type="noConversion"/>
  </si>
  <si>
    <t>釐清線材客製原因與後續訂單確認</t>
    <phoneticPr fontId="1" type="noConversion"/>
  </si>
  <si>
    <t>軟體 Peter</t>
    <phoneticPr fontId="1" type="noConversion"/>
  </si>
  <si>
    <t>RECOM清單窗口，無相關需求，協助轉介紹RD部門經理Brian</t>
    <phoneticPr fontId="1" type="noConversion"/>
  </si>
  <si>
    <t>RD經理 Brian</t>
    <phoneticPr fontId="1" type="noConversion"/>
  </si>
  <si>
    <t>介紹RECOM、Maspower MOS ，約周二下午碰面介紹與討論。</t>
    <phoneticPr fontId="1" type="noConversion"/>
  </si>
  <si>
    <t>國睦工業</t>
    <phoneticPr fontId="1" type="noConversion"/>
  </si>
  <si>
    <t>RD Ryan劉先生</t>
    <phoneticPr fontId="1" type="noConversion"/>
  </si>
  <si>
    <t>無全名不轉接</t>
    <phoneticPr fontId="1" type="noConversion"/>
  </si>
  <si>
    <t>RD Bob 林先生</t>
    <phoneticPr fontId="1" type="noConversion"/>
  </si>
  <si>
    <t>目前8K燒結機生意衰退嚴重，目前仍有68PCS庫存 (價格750--&gt;790)
近期主要開發&lt;1KW 研磨機，目前Prototype剛出來，用GBJ+IRFP460+FRED 
本周與採購歐先生確認型號與買台用量，預估用量500台/年
須提供橋整+GBJ+MOS+FRED報價</t>
    <phoneticPr fontId="1" type="noConversion"/>
  </si>
  <si>
    <t xml:space="preserve">寧茂因變頻器生意影響，需要開始有cost down的方案
原繼電器用AC，改DC。
1.提供315~1000A / 1000V Relay一系列的規格(陶瓷) ，跟採購確認數量與報價
2.採購會提供目前用Fuse的一系列規格與用量，提供對應方案與報價
3.EK系列SCR相關的幾個問題跟固馳確認後提供
4.整流提供EK100(30HP)、EK150(45HP)、EK200(60HP)
5.提供IGBT一系列規格後跟韋經理討論動作 
PIM : 50A、75A、100A、150A / 650V	
50A、75A、100A、150A / 1200V
 Easy Pack : 10A、15A、30A / 1200V (650用IPM)
 62mm : 400A、600A / 650V
	 300A、450A / 1200V </t>
    <phoneticPr fontId="1" type="noConversion"/>
  </si>
  <si>
    <t>主要都是做國內市場A/D、D/D，做消費性產品adaptor為主，MOS多用5*6或是最大TO220，若有200V-650區間可推薦。
非目標客戶，關係建立即可。</t>
    <phoneticPr fontId="1" type="noConversion"/>
  </si>
  <si>
    <t>車王電子</t>
    <phoneticPr fontId="1" type="noConversion"/>
  </si>
  <si>
    <t xml:space="preserve">主要負責提供電動巴士的三電系統給華德動能(組車廠)
 PDU用Relay : 100A、200A、550A / 1000V  (目前TDK環氧)
550A Relay年用量600PCS，100A、200A約兩倍
	Fuse : 50A、100A / 1000V Littelfuse
	200A、630A / 1000V Bussman  
跟採購Mandy要這些產品的料號去做尺寸、鎖點確認，Fuse要確認一下年用量後提供一系列產品規格
目前方案都還算穩定，但也持續有在尋找能夠Cost down競爭的窗口，近期成本提高，生意最近有掉一些。
DC充電樁、儲能會跟PDU共用料，但生意不好，除PDU外其他比較偏向接單式生產。		</t>
    <phoneticPr fontId="1" type="noConversion"/>
  </si>
  <si>
    <t>蔡小姐、楊小姐</t>
    <phoneticPr fontId="1" type="noConversion"/>
  </si>
  <si>
    <t>關係建立，公SCR、IGBT一系列方案給蔡小姐。
另楊小姐會提供目前寧茂用的Fuse型號與用量以做產品推薦</t>
    <phoneticPr fontId="1" type="noConversion"/>
  </si>
  <si>
    <t>壓接SCR堅持用Semikron，盤式組件都用我們的，不願意更換。
目前點焊機客戶買中頻機(1KHZ以上)較多，但金銲沒有自己設計的能力，中頻機電源會直接外購，不須另花時間在金銲身上。</t>
    <phoneticPr fontId="1" type="noConversion"/>
  </si>
  <si>
    <t>林老闆、Brian</t>
    <phoneticPr fontId="1" type="noConversion"/>
  </si>
  <si>
    <t>希望Easy封裝30A、2in1 IGBT、整流橋繼續配合。
重新整理用料報價後跟Brian討論，漳毅想要月結60天，若價格、MOQ討論的OK的話會拿1/3~1/2的量來討論交換票期。</t>
    <phoneticPr fontId="1" type="noConversion"/>
  </si>
  <si>
    <t xml:space="preserve">提供HCHVF 200A、300A / 500VDC 產品
提供HCHVT 40A、63A、80A / 500VDC產品
目前都用Bussman，價格被漲了近50%，想找其他方案。
</t>
    <phoneticPr fontId="1" type="noConversion"/>
  </si>
  <si>
    <t>盤式維修、栓型替代尼爾少量生產，原本EIT的產品用於舊版CO2焊機，維修頻率較高所以從去年開始開發新機種去替代舊的，新機種目前開發完成，但目前整機還在廠內測試約一個月，量產需要至少2個月驗證。
經確認後EIT的SCR是用於自己的焊機，OTC幾乎沒遇到維修。</t>
    <phoneticPr fontId="1" type="noConversion"/>
  </si>
  <si>
    <t>目前除既有IGBT外，原MMG150S、200S要再各下50-100PCS測試，被何總擋下來，認為目前(未漲價前)跟三菱價差20%左右，價格落差沒有足夠吸引力，目前打算用日系品牌。
FRED測試通過可導入，到由於切割機生意衰退嚴重，有訂單時才會再下單，不會先備。
Relay目前測試順利，預計三月底會出三台到印度再驗證3-6個月，預計會再下50PCS ，再提供報價。
DC Fuse 樣品協助申請。</t>
    <phoneticPr fontId="1" type="noConversion"/>
  </si>
  <si>
    <t>冷氣馬達驅動，原定找GH封裝IGBT，後機構提議要改Easy2B封裝，市面上沒有75A/650V Easy2B，提供75A / 1200V方案，或是看得意能不能改其他封裝。
目前案子只有200pcs/年，近期老闆去談的案子，但是後續案件狀況還沒有通知RD這邊，再追蹤IGBT更換的部分。</t>
    <phoneticPr fontId="1" type="noConversion"/>
  </si>
  <si>
    <t>EK系列全部漲6-8%，Discrete漲3-5%，但目前都有預先排好了，EK200跟EK330預計要Q3才有可能再買一批小量再測試。</t>
    <phoneticPr fontId="1" type="noConversion"/>
  </si>
  <si>
    <t>用於Cut99型號切割機用EG150D1GSF會發生Gate腳燒掉的狀況，有帶回失效品，再確認清楚工況細節協助申請失效報告 (SanRex100A三相橋+三菱	IGBT*2+栓型FRED)
2.MCO600-16IO1 (IXYS) SCR舊型已停產切割機的維修替代方案提供。
3.目前用松川841-S-2A-D Realy，希望能協助確認替代方案。
4.栓型FRED 5月的100PCS提前到4月，會再下300PCS做庫存，26年拿完。
5.FRED漲4-5% 再提供漲價後報價單</t>
    <phoneticPr fontId="1" type="noConversion"/>
  </si>
  <si>
    <t>RECOM產品只適用於桌上型電療、超音波、短波設備
		超音波	A/D : 65W 輸出48VDC (明緯)  
		電療	A-D : 45W 輸出+-12VDC(+-都要2A) (Skynet)
		短波	RACM600-L-OF(要有殼) 600W 輸出48VDC (明緯)
		目前這些都已經出了15-20年，近期產品認證沒有更新
		最近幫東南亞、歐美客戶做ODM小台可攜式電療，只會用到IC，預計要在9-12個月完成後才會重啟桌上型設備的更新案，上述桌上型A/D都有在Mouser上買過RECOM產品，但要等可攜式的案子結束才會回去做舊機種更新。</t>
    <phoneticPr fontId="1" type="noConversion"/>
  </si>
  <si>
    <t>1.EK200、250M95有沒有300A)、500 金屬線圈加熱電源用整流 (一台3顆 配Infineon 450A / 1200V IGBT) 
提供3款SCR各15PCS報價  IGBT要再要求看看  100KW、8KHZ
2.阻抗式線材加熱機 ( Nell三相橋*1 + 200A/1200V*2 美琪IGBT + EF800M45*5)
目前FRED下10PCS先做兩台樣機出去泰國測試，約7月會再出給環球晶測試，驗證時間抓一年
量產 : 泰國50台/年 (FRED*250PCS) 、 環球晶100台/年 (FRED*500)
3. 160KW 10KHZ  對應報價單20250225-025
 提供EK200 (不要EK110) *3 + MMF2X100J120D*2 + MMG450D120B6TC*4 (此為一台用量) (提供2台的報價) 
 (因為從當初並聯設計改串聯，不會有MMF600S120U、MMG600K120U6TC)
4.提供200~600A / 1500V 陶瓷RELAY規格 先圈24VDC 要輔助接點 一組常開 、 無FUSE</t>
    <phoneticPr fontId="1" type="noConversion"/>
  </si>
  <si>
    <t>方經理、黃S</t>
    <phoneticPr fontId="1" type="noConversion"/>
  </si>
  <si>
    <t>1.找HF 40A / 28V 線圈24V  一組常閉PCB版式RELAY、新案老闆還沒說明是什麼案子  要關店直接OFF，不用額外送電
確認HF這樣能不能做，再決定要不要花時間。
2.之前IGBT 450A GWD案子目前客戶樣機OK，但一直沒下量產單(當初是說100台) 客戶下單後訂單就會下下來。</t>
    <phoneticPr fontId="1" type="noConversion"/>
  </si>
  <si>
    <t>W14</t>
    <phoneticPr fontId="1" type="noConversion"/>
  </si>
  <si>
    <t>採購主管 翟R</t>
    <phoneticPr fontId="1" type="noConversion"/>
  </si>
  <si>
    <t>與Paul共同確認建code、與交貨時間，訂單已取得</t>
    <phoneticPr fontId="1" type="noConversion"/>
  </si>
  <si>
    <t>約周四上午碰面一同討論失效報告。</t>
    <phoneticPr fontId="1" type="noConversion"/>
  </si>
  <si>
    <t>Ryan</t>
    <phoneticPr fontId="1" type="noConversion"/>
  </si>
  <si>
    <t>RECOM案子跟採購介紹與說明，會請負責的採購Joyce去協助確認，若有明確再另約時間碰面。</t>
    <phoneticPr fontId="1" type="noConversion"/>
  </si>
  <si>
    <t>電話簡單說明失效報告，並要求至現場確認福峰安裝所用的工具、安裝手冊，並留存照片、影片，明天碰面請福峰提前準備。</t>
    <phoneticPr fontId="1" type="noConversion"/>
  </si>
  <si>
    <t>目前鐵粉芯尺寸都OK，但因為機殼廠商Delay導致無法進行完整測試，約定時間從四月底調整至五月底下單。</t>
    <phoneticPr fontId="1" type="noConversion"/>
  </si>
  <si>
    <t>過去2024年訂單數量與ERP數量不一致，導致2026原訂一月發200PCS的MMG200S060B6TC，一直少100PCS，已重新開100PCS訂單，四月底交。</t>
    <phoneticPr fontId="1" type="noConversion"/>
  </si>
  <si>
    <t>劉董、張協理、採購、生管</t>
    <phoneticPr fontId="1" type="noConversion"/>
  </si>
  <si>
    <t>取得福峰安裝手冊、安裝起子、扭力值等數據照片與影片。
依失效報告所指出鎖附扭力過大此狀況並未發生，提供相關資料給宏微，請宏微提供妥善的說明，確認後本週跟FAE Jason約過去一趟。</t>
    <phoneticPr fontId="1" type="noConversion"/>
  </si>
  <si>
    <t>鎧曄</t>
    <phoneticPr fontId="1" type="noConversion"/>
  </si>
  <si>
    <t>MMG400D060B6TC 維修訂單處理</t>
    <phoneticPr fontId="1" type="noConversion"/>
  </si>
  <si>
    <t>要確認一下時間，應該是連假後回台，請我下周二或三跟他聯絡。</t>
    <phoneticPr fontId="1" type="noConversion"/>
  </si>
  <si>
    <t>南田</t>
    <phoneticPr fontId="1" type="noConversion"/>
  </si>
  <si>
    <t>吳老闆</t>
    <phoneticPr fontId="1" type="noConversion"/>
  </si>
  <si>
    <t>MOS訂單協調，已下單</t>
    <phoneticPr fontId="1" type="noConversion"/>
  </si>
  <si>
    <t>HIITIO Relay失效，約下周三或四上午過去拿失效品，並確認工況。</t>
    <phoneticPr fontId="1" type="noConversion"/>
  </si>
  <si>
    <t>訂單數量釐清，並介紹另一位量產品機構Dustin，下週五付款交貨會跟James一起會面。</t>
    <phoneticPr fontId="1" type="noConversion"/>
  </si>
  <si>
    <t>報價單需求產品、數量確認，會請Simon協助整理後下週提供正式報價。</t>
    <phoneticPr fontId="1" type="noConversion"/>
  </si>
  <si>
    <t>採購 蔡S</t>
    <phoneticPr fontId="1" type="noConversion"/>
  </si>
  <si>
    <t>請蔡S協助提供Fuse 型號，以協助提供方案。
SCR相關問題下周再跟韋經理聯絡說明。
問題都確認後提供完整的提案與報價，請Simon協助整理要給寧茂一系列SCR、IGBT、Relay的規格書，下週提供方案與報價。</t>
    <phoneticPr fontId="1" type="noConversion"/>
  </si>
  <si>
    <t>W15</t>
    <phoneticPr fontId="1" type="noConversion"/>
  </si>
  <si>
    <t>Sourcer Amanda</t>
    <phoneticPr fontId="1" type="noConversion"/>
  </si>
  <si>
    <t>Foxconn</t>
    <phoneticPr fontId="1" type="noConversion"/>
  </si>
  <si>
    <t>Eric Liu</t>
    <phoneticPr fontId="1" type="noConversion"/>
  </si>
  <si>
    <t>FoxTron</t>
    <phoneticPr fontId="1" type="noConversion"/>
  </si>
  <si>
    <t>楊青松</t>
    <phoneticPr fontId="1" type="noConversion"/>
  </si>
  <si>
    <t>RD Dustin</t>
    <phoneticPr fontId="1" type="noConversion"/>
  </si>
  <si>
    <t>與James同個Team，都是負責量產品，目前主要負責50度左右的小型家用儲能案，James是負責大型儲能櫃的案子。
後續約訪周五下午送貨時碰面。</t>
    <phoneticPr fontId="1" type="noConversion"/>
  </si>
  <si>
    <t>採購 ZH</t>
    <phoneticPr fontId="1" type="noConversion"/>
  </si>
  <si>
    <t>要求協助確認採購周五(4/10)預計匯款的時間點。
週五過去送貨時一起約碰面。</t>
    <phoneticPr fontId="1" type="noConversion"/>
  </si>
  <si>
    <t>採購 張瑞芸</t>
    <phoneticPr fontId="1" type="noConversion"/>
  </si>
  <si>
    <t>致電要求提供正式PO訂單</t>
    <phoneticPr fontId="1" type="noConversion"/>
  </si>
  <si>
    <t>協助確認用AC/DC、DC/DC 的RD，要求周五上午約訪，國書說會去幫忙詢問，時間待確認。</t>
    <phoneticPr fontId="1" type="noConversion"/>
  </si>
  <si>
    <t>75A IGBT目前預計4/20那周測試，再追蹤測試狀況。</t>
    <phoneticPr fontId="1" type="noConversion"/>
  </si>
  <si>
    <t>王榮豪</t>
    <phoneticPr fontId="1" type="noConversion"/>
  </si>
  <si>
    <t>劉君愷</t>
    <phoneticPr fontId="1" type="noConversion"/>
  </si>
  <si>
    <t>呂尚杰</t>
    <phoneticPr fontId="1" type="noConversion"/>
  </si>
  <si>
    <t>1.提供DYNEX盤式型錄，標註哪些是量產標準品
2.提供DELTA 盤式+組件的照片以供參考
3.標註一般交期多久?  交大陸、交台灣各是多久
目前手邊的案子用1600or1800A 盤式
先提供產品、交期後討論價格與樣品測試意願。</t>
    <phoneticPr fontId="1" type="noConversion"/>
  </si>
  <si>
    <t>HIITIO 60A Relay，用於電池充放電測試設備研發，在2、30A / 400多VDC時造成沾黏，取回失效品作分析，並建議下單100A或更大規格的測試看看。</t>
    <phoneticPr fontId="1" type="noConversion"/>
  </si>
  <si>
    <t>關係維護，目前RECOM產品改用60W+30W後已解決功率不足的問題，現在軟體中，預計5月底前送實驗室。</t>
    <phoneticPr fontId="1" type="noConversion"/>
  </si>
  <si>
    <t>陳同皇</t>
    <phoneticPr fontId="1" type="noConversion"/>
  </si>
  <si>
    <t>FRED交貨，與RD重新認識，MOS過去用11A改13A，現用Infineon 17A，但11A以上就夠用，若固緯1000V有導入再去跟艾可推薦看看同一顆。</t>
    <phoneticPr fontId="1" type="noConversion"/>
  </si>
  <si>
    <t>目前公司規定新的Source要找至少兩家，1000V MOS除了Maspower有成功完成單原件測試，尚未進行整機測試之外，東晶(台廠)預計4/16會拿新開發出來900V MOS樣品給他測試。
若Maspower整機測試完成後，預計7、8月會開始下單。
會申請200pcs樣品，再跟Iris凹看看能給多少free sample。</t>
    <phoneticPr fontId="1" type="noConversion"/>
  </si>
  <si>
    <t>展壹</t>
    <phoneticPr fontId="1" type="noConversion"/>
  </si>
  <si>
    <t>張博炫</t>
    <phoneticPr fontId="1" type="noConversion"/>
  </si>
  <si>
    <t>ES35F16GG-120T1替代MMK35LB160HB產品腳位不同無法使用，建議更改設計，RD先去跟主觀討論。</t>
    <phoneticPr fontId="1" type="noConversion"/>
  </si>
  <si>
    <t>確認福峰電子鎖附扭力、轉速問題確認、散熱膏厚度確認。
先請宏微做模擬，並排查產線問題，預計4/15會提供報告，提供後再去找福峰討論。</t>
    <phoneticPr fontId="1" type="noConversion"/>
  </si>
  <si>
    <t>神雲科技</t>
    <phoneticPr fontId="1" type="noConversion"/>
  </si>
  <si>
    <t>RD陳泳翰</t>
    <phoneticPr fontId="1" type="noConversion"/>
  </si>
  <si>
    <t>約訪碰面時間改下周一下午1400。
神達只做Server 的主板，交集只會有DC/DC ，需求48VDC轉12VDC、5VDC、3.3VDC，約碰面介紹RECOM。</t>
    <phoneticPr fontId="1" type="noConversion"/>
  </si>
  <si>
    <t>產品漲價討論，
FRED 價格12.6--&gt;13  漲價3%，MOQ從3K--&gt;10K
IGBT 價格52.4--&gt;55.1 漲價5%，MOQ從1K--&gt;4K
會再提供蘇州Sourcer給我，去討論看看。
若能配合就直接我們賣去蘇州，若無法配合就維持現狀。
26年近期新開馬來西亞廠，產品需求會都先由TW這邊採購。</t>
    <phoneticPr fontId="1" type="noConversion"/>
  </si>
  <si>
    <t>產品交貨，採購合約書目前法務審閱中，會再提供法務修改過後的跟我們討論。</t>
    <phoneticPr fontId="1" type="noConversion"/>
  </si>
  <si>
    <t>Relay後續線材上的標籤會再提供最新版本，Relay預計廠內測試2週，若順利就會直接公告後續由HIITIO取代Gigavac，Fuse測試約3-5天，會直接用HIITIO的產品出給客戶。
Fuse 兩側包絕緣問題再跟HIITIO詢問。</t>
    <phoneticPr fontId="1" type="noConversion"/>
  </si>
  <si>
    <t>ME Dustin</t>
    <phoneticPr fontId="1" type="noConversion"/>
  </si>
  <si>
    <t>目前小台家用儲能會直接裝HIITIO產品出去，會先從儲能開始，由於現在只有1000V的有量產訂單，若量產順利，後續才會討論400A/1500V Relay的樣品及1500V Fuse樣品。</t>
    <phoneticPr fontId="1" type="noConversion"/>
  </si>
  <si>
    <t>長庚</t>
    <phoneticPr fontId="1" type="noConversion"/>
  </si>
  <si>
    <t>告知HIITIO在台代理身分並要求碰面認識，之前買的都還有一些庫存，暫約周四下午，週二4/14要再確認一下時間。</t>
    <phoneticPr fontId="1" type="noConversion"/>
  </si>
  <si>
    <t>Nick 趙R</t>
    <phoneticPr fontId="1" type="noConversion"/>
  </si>
  <si>
    <t>已經從RD轉成Sales，輝能基本上只出電芯而已，其他都是跟合作廠商配合，針對BBU、車用等電池的Relay、Fuse建議我找李R問問看，後跟RD約到碰面再順便約sales了解輝能狀況。</t>
    <phoneticPr fontId="1" type="noConversion"/>
  </si>
  <si>
    <t>Nickel 李R</t>
    <phoneticPr fontId="1" type="noConversion"/>
  </si>
  <si>
    <t>Jeff何先生</t>
    <phoneticPr fontId="1" type="noConversion"/>
  </si>
  <si>
    <t>主要都還是做儲能櫃的pack、BMS以及整體方案，PCS外購，目前主要用60A~450A / 1500VDC Relay、300A~500A / 250V~500V Fuse，先提供datasheet，約週一1600碰面介紹與討論。</t>
    <phoneticPr fontId="1" type="noConversion"/>
  </si>
  <si>
    <t>栓型FRED 漲價9.5%，並取得300pcs訂單。</t>
    <phoneticPr fontId="1" type="noConversion"/>
  </si>
  <si>
    <t>FOXTRON</t>
  </si>
  <si>
    <t>FOXCONN</t>
    <phoneticPr fontId="1" type="noConversion"/>
  </si>
  <si>
    <t>EV 劉R</t>
    <phoneticPr fontId="1" type="noConversion"/>
  </si>
  <si>
    <t>整個下午會議</t>
    <phoneticPr fontId="1" type="noConversion"/>
  </si>
  <si>
    <t>EV 柯R</t>
    <phoneticPr fontId="1" type="noConversion"/>
  </si>
  <si>
    <t>RD主管 蔡易達</t>
    <phoneticPr fontId="1" type="noConversion"/>
  </si>
  <si>
    <t>直接掛電話</t>
    <phoneticPr fontId="1" type="noConversion"/>
  </si>
  <si>
    <t>W16</t>
    <phoneticPr fontId="1" type="noConversion"/>
  </si>
  <si>
    <t>RD 陳泳翰</t>
    <phoneticPr fontId="1" type="noConversion"/>
  </si>
  <si>
    <t>主要做從BBU--&gt;PDU後端主板DCDC轉換，由於機櫃尺寸限制，基本上都會選用IC，既有產品都是用Delta不會有變動，多選用Regulator、1/2 Brick、1/4Brick，要新案有進展才有機會。
過去在來穎有用過RECOM RO(/E)的產品。
後續提供幾個穩壓類型的D/D持續互動。
規格 : 48VDC轉12V、5V、3.3V
12VDC轉5V、3.3V</t>
    <phoneticPr fontId="1" type="noConversion"/>
  </si>
  <si>
    <t>明曜科技</t>
    <phoneticPr fontId="1" type="noConversion"/>
  </si>
  <si>
    <t>RD 何岳聰、劉家維</t>
    <phoneticPr fontId="1" type="noConversion"/>
  </si>
  <si>
    <t>出Pack+BMS、PCS外購，在明曜組成儲能櫃。
目前用陸製1500V Relay
400A正負，線圈24V，輔助接點一組常閉，量約1K/年
60A Pre-charge，線圈24V，不用輔助接點，量約500pcs/年
Fuse用中熔，一樣1500V
450A，方體快速熔斷，量約1K/年
另找500A/500V 總長度要10cm以下，用量約4-8K/年
再提供對應的產品規格與報價</t>
    <phoneticPr fontId="1" type="noConversion"/>
  </si>
  <si>
    <t>已經轉成sales，據他所知輝能都只有出cell，後續都是Nickel李先生在負責這件事情。</t>
    <phoneticPr fontId="1" type="noConversion"/>
  </si>
  <si>
    <t>前兩年輝能有考慮過開自己開始做Pack、BMS等產品，所以有開始找一些相關產品，但發現cell還是有一些問題所以新部門就先解散，現在還是只有出cell而已，暫時沒有聽說有其他的新產品規劃或是拓展</t>
    <phoneticPr fontId="1" type="noConversion"/>
  </si>
  <si>
    <t>胡建裕</t>
    <phoneticPr fontId="1" type="noConversion"/>
  </si>
  <si>
    <t>出差</t>
    <phoneticPr fontId="1" type="noConversion"/>
  </si>
  <si>
    <t>詢100A/1500V 陶瓷Relay，做感應加熱應用，應用細節及案子狀況尚不明朗，會再去幫忙確認一下，另討論價格</t>
    <phoneticPr fontId="1" type="noConversion"/>
  </si>
  <si>
    <t>Eric</t>
    <phoneticPr fontId="1" type="noConversion"/>
  </si>
  <si>
    <t>李坤鴻</t>
    <phoneticPr fontId="1" type="noConversion"/>
  </si>
  <si>
    <t>盛達電業</t>
    <phoneticPr fontId="1" type="noConversion"/>
  </si>
  <si>
    <t>不協助轉接</t>
    <phoneticPr fontId="1" type="noConversion"/>
  </si>
  <si>
    <t>Cash 劉R</t>
    <phoneticPr fontId="1" type="noConversion"/>
  </si>
  <si>
    <t>柯建名</t>
    <phoneticPr fontId="1" type="noConversion"/>
  </si>
  <si>
    <t>轉接未接</t>
    <phoneticPr fontId="1" type="noConversion"/>
  </si>
  <si>
    <t>提供DYNEX產品清單與組件資料，先研究一下並確認需求後再回我mail</t>
    <phoneticPr fontId="1" type="noConversion"/>
  </si>
  <si>
    <t>採購Mandy</t>
    <phoneticPr fontId="1" type="noConversion"/>
  </si>
  <si>
    <t>要求提供Fuse型號，請我發郵件給他，會再去跟RD確認後提供。</t>
    <phoneticPr fontId="1" type="noConversion"/>
  </si>
  <si>
    <t>SCR狀況說明，告知整理完之後會再提供全系列的規格書方案過去。</t>
    <phoneticPr fontId="1" type="noConversion"/>
  </si>
  <si>
    <t>Darren</t>
    <phoneticPr fontId="1" type="noConversion"/>
  </si>
  <si>
    <t>訂單交期正常回覆，要等Sourcer協助更新價格、MOQ後會依照系統更新數據下單。</t>
    <phoneticPr fontId="1" type="noConversion"/>
  </si>
  <si>
    <t>目前已經轉部門做AC樁，不會用到，DC 樁的部分提供Michael分機，建議我去找他。</t>
    <phoneticPr fontId="1" type="noConversion"/>
  </si>
  <si>
    <t>過去用過HIITIO的東西，但後續有遇到部分客戶指定、1500V Relay進口後安規認證的問題很麻煩，雖然HIITIO產品品質都沒問題但還是選擇換TDK，小顆板上的Power Relay直接從大陸跟宏發拿。
BMS目前都是用100V的低壓MOS，沒什麼搞頭。
近期有在考慮用SiC研發，但非常初期，TO-247 650V 封裝的SiC若我這邊有規格可以發給他參考看看。
DCDC用明緯的，基本上沒有什麼交集</t>
    <phoneticPr fontId="1" type="noConversion"/>
  </si>
  <si>
    <t>DELTA EV</t>
    <phoneticPr fontId="1" type="noConversion"/>
  </si>
  <si>
    <t>Michael 柯R</t>
    <phoneticPr fontId="1" type="noConversion"/>
  </si>
  <si>
    <t>目前產品漲價都還沒有告一個段落，現在手邊沒有會用到Relay的新案，還是會需要等有需求、RD測過之後才有可能進行到下一步。
Fuse的統購可以幫我轉郵件，但不願意提供對應窗口。
再提供Fuse的介紹郵件發過去。</t>
    <phoneticPr fontId="1" type="noConversion"/>
  </si>
  <si>
    <t>重新接洽開發Relay、Fuse的RD窗口，研發不同人會協助留話，但不願意提供人名跟分機。</t>
    <phoneticPr fontId="1" type="noConversion"/>
  </si>
  <si>
    <t>四零四科技</t>
    <phoneticPr fontId="1" type="noConversion"/>
  </si>
  <si>
    <t>吳敬平</t>
    <phoneticPr fontId="1" type="noConversion"/>
  </si>
  <si>
    <t>協助推薦CONVERTER RD窗口，會發MAIL過來。</t>
    <phoneticPr fontId="1" type="noConversion"/>
  </si>
  <si>
    <t>FOXTRON</t>
    <phoneticPr fontId="1" type="noConversion"/>
  </si>
  <si>
    <t>BEN 楊R</t>
    <phoneticPr fontId="1" type="noConversion"/>
  </si>
  <si>
    <t>目前其他機種安規告一段落，這兩天正在安排測試排程，會再提供時間給我。</t>
    <phoneticPr fontId="1" type="noConversion"/>
  </si>
  <si>
    <t>Andy</t>
    <phoneticPr fontId="1" type="noConversion"/>
  </si>
  <si>
    <t>目前只有做AC樁，DC樁直接貼牌搬進來，儲能目前還沒有進展，由於開發成本太高，後續都打算用貼牌的形式，ACDC、DCDC產品都是明緯，曾經詢過RECOM但價格太高，無特殊認證、規格要求，沒什麼機會。</t>
    <phoneticPr fontId="1" type="noConversion"/>
  </si>
  <si>
    <t>過去SCR曾經有請SanRex做過240A的產品，同步提供EK250。
IGBT說會看UL，但整機也沒有UL，先維持EIT方案。
本周會提供全系列(包含SCR、IGBT) 的方案。
後續再找韋經理討論要從哪顆開始試，韋經理同步也去確認近期案子需求，若規格書OK後續會協助安排人力去做測試。</t>
    <phoneticPr fontId="1" type="noConversion"/>
  </si>
  <si>
    <t>Angus 吳先生</t>
    <phoneticPr fontId="1" type="noConversion"/>
  </si>
  <si>
    <t>很久以前有曾經詢過RECOM的東西，但是都沒有回覆，後續已經有找到替代方案了，但近期已經準備要從光寶退休了，沒有特別留意用料。
請我提供EIT在做的東西mail給他，他幫我看要轉給誰。</t>
    <phoneticPr fontId="1" type="noConversion"/>
  </si>
  <si>
    <t>DG808預計下周決標，照正常流程可能會有人來問EIT，再幫忙保護一下，預計決標後會進入議價流程，預計5月中前訂單會下下來。</t>
    <phoneticPr fontId="1" type="noConversion"/>
  </si>
  <si>
    <t>目前TSMC要求在IGBT增加保護，目前先增加保護一樣用MacMic的IGBT持續出，近期沒有其他狀況。
同時晃誼有在測IXYS的IGBT，測起來也沒問題。
TSMC目前沒有特別硬性要求換料，但晃誼是否會換料要再由晃誼高層這邊決定。</t>
    <phoneticPr fontId="1" type="noConversion"/>
  </si>
  <si>
    <t>繁葵實業</t>
    <phoneticPr fontId="1" type="noConversion"/>
  </si>
  <si>
    <t>人事部 連S</t>
    <phoneticPr fontId="1" type="noConversion"/>
  </si>
  <si>
    <t>陌生開發介紹RECOM，去跟負責的採購問要找哪個RD比較適合，留電話並稍後再致電。</t>
    <phoneticPr fontId="1" type="noConversion"/>
  </si>
  <si>
    <t>目前FDA正在接洽及審廠整合中，預計6月底碰面。</t>
    <phoneticPr fontId="1" type="noConversion"/>
  </si>
  <si>
    <t>採購 鄧S</t>
    <phoneticPr fontId="1" type="noConversion"/>
  </si>
  <si>
    <t>採購約訪，做電動病床跟醫療氣墊床pump</t>
    <phoneticPr fontId="1" type="noConversion"/>
  </si>
  <si>
    <t>RD Luka、採購Phoebe、RD Ryan</t>
    <phoneticPr fontId="1" type="noConversion"/>
  </si>
  <si>
    <t>去碰面介紹與提供HF的方案。
目前A樣已經有選定跟大陸廠家弄，沒有額外的預算討論A樣。
A樣預計5月底到，做一些組裝性測試及上下電測試。
A樣測試後才會決定B、C樣，B樣後續就會請量產的廠家做，B樣會再來詢一次價，目前HF這邊的設計改良建議先暫停，等A樣鴻華測完再說。
時間點預計6月底前會來詢價。
須提供 : 
1.宏舟PDU、BDU在車業的代工實績
2.HF的產品在動力電池有哪些實績?
3.HF要求要替代EATON的Breaktor在車用上有那些實績? 是否量產、是否為標準品等問題 (評估交貨穩定度以及避免特定廠家壟斷。</t>
    <phoneticPr fontId="1" type="noConversion"/>
  </si>
  <si>
    <t>做電動病床跟電動氣墊床的充氣pump，都需要醫療認證
電動病床整個電源跟控制都直接從國外搬進來，TW只負責組裝，沒機會。
Pump目前用明緯RSP-60-24  60W AC/DC 以及 明緯MFM 20W的AC/DC  。     60W價格買NTD210、20W價格買NTD135
可提供推薦方案。
另外有請僑威協助客製20W  100-240VACIN  50-60Hz 0.6A 轉12V、18VDC雙通道，年用量20000pcs，要有醫規
另還有一個新方案客製也正在談，兩款客製會再提供規格書給我。</t>
    <phoneticPr fontId="1" type="noConversion"/>
  </si>
  <si>
    <t>失效狀況確認，power supply給AC--&gt;DC，DC會先預充電容後給Relay，作為關斷的開關，上限40A / 550VDC ，提供100A Relay給他參考。</t>
    <phoneticPr fontId="1" type="noConversion"/>
  </si>
  <si>
    <t>W18</t>
    <phoneticPr fontId="1" type="noConversion"/>
  </si>
  <si>
    <t>Relay HCF40B/450-24HQ3 用於100A切割機，廠內測試2pcs，一顆6、7000次、一顆10000次以上皆正常。
2026/4月初出三台切割機到印度，約一個月時間回報有一台疑似接點斷裂失效，預估開關約20000~25000次，工作電流&lt;30A，電壓320VDC  ( 無保留失效品)  目前Relay會先停掉。
MMF150S120B   80A切割機
用MMD150F160X*1 + MMG200S*2 + MMF150S120B*2 
整機在電能測試兩小時正常，後續整機出貨前一送電輸出一顆FRED短路，工況35A / 340VDC 
目前出去2、30台，最久有一年，都正常。</t>
    <phoneticPr fontId="1" type="noConversion"/>
  </si>
  <si>
    <t>Sourcer 尚未送出新價格及MOQ異動，預計這兩天會送出。
送出後Buyer會重新下單</t>
    <phoneticPr fontId="1" type="noConversion"/>
  </si>
  <si>
    <t>潤鴻是菲尼克斯代理商，預計是由潤鴻採購產品，由關係企業去做充電樁。
目前500A Relay用Gigavac 價格大約NT1200多而已，所以目前只會採購Fuse以及基座而已。</t>
    <phoneticPr fontId="1" type="noConversion"/>
  </si>
  <si>
    <t>MOS交期延後至2026/5/8</t>
    <phoneticPr fontId="1" type="noConversion"/>
  </si>
  <si>
    <t>周先生</t>
    <phoneticPr fontId="1" type="noConversion"/>
  </si>
  <si>
    <t>DG808預計下單數量12~14pcs，目前在議價階段，這兩週訂單就會下來。
DGT305預估6月。</t>
    <phoneticPr fontId="1" type="noConversion"/>
  </si>
  <si>
    <t>有接到歐洲客戶訂單，想下5000pcs，溝通後直接10000pcs，後續可能Q4還會再下一次，EK200跟EK330目前都還在客戶端驗證中，預計Q3偉接近Q4下單。</t>
    <phoneticPr fontId="1" type="noConversion"/>
  </si>
  <si>
    <t>潤鴻</t>
    <phoneticPr fontId="1" type="noConversion"/>
  </si>
  <si>
    <t>王明輝</t>
    <phoneticPr fontId="1" type="noConversion"/>
  </si>
  <si>
    <t>潤鴻是菲尼克斯、西門子之類的零件代理商
過去有做180KW的DC樁跟一些AC樁  跟菲尼克斯共同開發貼他的牌子
目前要做的是20KW的DC樁，學術單位用的。
潤鴻這間公司是零件代理商，底下還有一間公司富宸是做配盤的
會由富宸去做生產，但下單都會是由潤鴻，菲尼克斯會負責設計跟選料，潤鴻只管買，然後富宸生產，還是要跟菲尼克斯的業務才有辦法確認到用量。</t>
    <phoneticPr fontId="1" type="noConversion"/>
  </si>
  <si>
    <t>生管 黃銘勳</t>
    <phoneticPr fontId="1" type="noConversion"/>
  </si>
  <si>
    <t>MMG400D060B6EN RoHS認證需求，由於大陸2026/01/01針對RoHS認證有功新，並增加檢測項目，福峰需要相關產品送檢測用，希望能協助提供，MMG400D要再去跟趙文詢問是否有少量能夠協助。</t>
    <phoneticPr fontId="1" type="noConversion"/>
  </si>
  <si>
    <t>約4/29 10:30碰面討論報告</t>
    <phoneticPr fontId="1" type="noConversion"/>
  </si>
  <si>
    <t>目前Fuse先用在家用儲能的小案子量產，已經出去試了。
Relay測試會需要搭配軟體，會多花一點時間，預計要到五月底左右。
目前都只有1000V的案子，1500V現在都還沒有談到案子。
約明天碰面討論後續量產Pack 用Relay跟Fuse所需的驗證時間以及後續的Timing</t>
    <phoneticPr fontId="1" type="noConversion"/>
  </si>
  <si>
    <t>採購 翟先生</t>
    <phoneticPr fontId="1" type="noConversion"/>
  </si>
  <si>
    <t>約明天碰面討論Relay跟Fuse整體的預計數量、成長狀況。</t>
    <phoneticPr fontId="1" type="noConversion"/>
  </si>
  <si>
    <t>目前PDU的這個BU預計4月底要解散，RD會打散到各個BU。
預計五月底左右再跟Julien聯絡一下，新的BU產品的需求Julien會幫忙整理一下再保持聯絡。
另外會提供Relay、Fuse的統購窗口給我</t>
    <phoneticPr fontId="1" type="noConversion"/>
  </si>
  <si>
    <t>EISBG Ann</t>
    <phoneticPr fontId="1" type="noConversion"/>
  </si>
  <si>
    <t>EISBG Angel</t>
    <phoneticPr fontId="1" type="noConversion"/>
  </si>
  <si>
    <t>IABG Ray</t>
    <phoneticPr fontId="1" type="noConversion"/>
  </si>
  <si>
    <t>亞太集能</t>
    <phoneticPr fontId="1" type="noConversion"/>
  </si>
  <si>
    <t>EISBG EV RD Michael</t>
    <phoneticPr fontId="1" type="noConversion"/>
  </si>
  <si>
    <t>目前跟潤鴻合作開發的案子是20KW V2G 電池回饋電網式的充電樁，主要是做履歷+學術單位，一年頂多2-30套。
後續菲尼克斯會提供他們的零件，EIT提供Fuse，潤鴻負責採購、富宸負責組裝生產。
充電樁會打End User的LOGO或是打潤鴻的LOGO，不會打菲尼克斯的。
後續若有儲能、充電樁等設計案會先跟我們告知後直接pass客戶資訊過來。</t>
    <phoneticPr fontId="1" type="noConversion"/>
  </si>
  <si>
    <t>目前MM30FU120B需求5K，希望漲價調整至2026/8月後，尚未說明原因、尚未提供後續~8/1的產品預測，拿到後再跟她討論。</t>
    <phoneticPr fontId="1" type="noConversion"/>
  </si>
  <si>
    <t>劉董、張協理、陳副理</t>
    <phoneticPr fontId="1" type="noConversion"/>
  </si>
  <si>
    <t>針對IGBT失效狀況結論為失效品在宏微廠內並不會有實際鎖附的程序，嚴格來說不能判定為不良，只能認定為相對脆弱。
後續福峰會重新提供最新的鎖附SOP流程，後續會去拍每個環節的組裝流程紀錄，並請宏微協助確認與建議，此次失效就先提供良品，告一段。
再提供宏微產品最新RoHS報告</t>
    <phoneticPr fontId="1" type="noConversion"/>
  </si>
  <si>
    <t>採購Ken、採購主管 翟R
ME James、Dustin</t>
    <phoneticPr fontId="1" type="noConversion"/>
  </si>
  <si>
    <t>Relay因需搭配軟體，預計5月底前才能完成測試與驗證。
Fuse近期已經在裝機。
後續預估儲能一年約2-300櫃，Relay*3 + Fuse*1
預計Q3會同步開始做標準品的Pack成本優化案子，並同步將Relay跟Fuse設為Main Source。
標準的Pack 預計量為300pcs/年  也是一樣 Relay*3 + Fuse*1
後續除了客戶指定會用MSD外，後續標準品都會用Fuse。</t>
    <phoneticPr fontId="1" type="noConversion"/>
  </si>
  <si>
    <t>確認發貨狀況</t>
    <phoneticPr fontId="1" type="noConversion"/>
  </si>
  <si>
    <t>陳副理</t>
    <phoneticPr fontId="1" type="noConversion"/>
  </si>
  <si>
    <t>針對新版RoHS產品需求，目前已提供宏微產品最新RoHS報告，並提供MMG400D060B6EN/TC 兩款規格書讓福峰做最後確認。
後續RoHS有可能會拆一顆去做塑殼材料檢驗，其他可以還我們，先確認黎副總那邊MMG400D060B6TC*4 Sample是否有留存，若有就優先拿去測RoHS。</t>
    <phoneticPr fontId="1" type="noConversion"/>
  </si>
  <si>
    <t>目前栓型、盤式SCR都是維修用都裝出去，目前狀況都穩定，後續有累積一定量的維修需求才會再下。
新版CO2焊機已經有用EIT的SCR出給客戶了，目前手邊還有訂單在談，預計五月底左右會確認下來，數量約200pcs</t>
    <phoneticPr fontId="1" type="noConversion"/>
  </si>
  <si>
    <t>推薦DCR1710F18、DCR2980C14、DCR3060V24、DCR3400V18產品規格與交期
3000A用於400KW電鍍整流，由於市面上不好買，也有考慮用小一點的規格將數量從一台6顆增加到12顆，但成本較高，請我提供推薦產品方案與交期。</t>
    <phoneticPr fontId="1" type="noConversion"/>
  </si>
  <si>
    <t>SCR、IGBT規格書接確認，後續提供全系列產品報價。</t>
    <phoneticPr fontId="1" type="noConversion"/>
  </si>
  <si>
    <t>倪建中</t>
    <phoneticPr fontId="1" type="noConversion"/>
  </si>
  <si>
    <t>只負責生產，對新產品的開發以及替代料不是很清楚，要問問看研發經理，約下周碰面，避開周二下午皆可，約周四上午，周二再確認一下。</t>
    <phoneticPr fontId="1" type="noConversion"/>
  </si>
  <si>
    <t>廠務 廖S</t>
    <phoneticPr fontId="1" type="noConversion"/>
  </si>
  <si>
    <t>目前沒有需求，也不太願意互動，樹林廠只說會換位置但沒有說會換去哪裡，只知道一樣會在台灣而已。</t>
    <phoneticPr fontId="1" type="noConversion"/>
  </si>
  <si>
    <t>茂勝醫療儀器</t>
    <phoneticPr fontId="1" type="noConversion"/>
  </si>
  <si>
    <t>採購 歐S</t>
    <phoneticPr fontId="1" type="noConversion"/>
  </si>
  <si>
    <t>原EK60M01-160B，改ES60，與客戶修正為ES70，本周再提供承認書即可</t>
    <phoneticPr fontId="1" type="noConversion"/>
  </si>
  <si>
    <t>三貴機械</t>
    <phoneticPr fontId="1" type="noConversion"/>
  </si>
  <si>
    <t>廖美智小姐</t>
    <phoneticPr fontId="1" type="noConversion"/>
  </si>
  <si>
    <t>偉祺</t>
    <phoneticPr fontId="1" type="noConversion"/>
  </si>
  <si>
    <t>RD 尤本德</t>
    <phoneticPr fontId="1" type="noConversion"/>
  </si>
  <si>
    <t>馬達主要買現成的，只記得我們有整流橋，目前都用尼爾的整流橋，約5/14 10:30見面了解EIT系列產品</t>
    <phoneticPr fontId="1" type="noConversion"/>
  </si>
  <si>
    <t>做馬達驅動，目前幫Toshiba代工為主，約5/15 11:00見面，討論整流橋、IGBT</t>
    <phoneticPr fontId="1" type="noConversion"/>
  </si>
  <si>
    <t>長榮超音波</t>
    <phoneticPr fontId="1" type="noConversion"/>
  </si>
  <si>
    <t>超音波熔接機，Fred Discrete久未下單，另有少量Diode Discrete需求，劉小姐希望MOQ降低，約5/15 9:40見面，追問IGBT可能性</t>
    <phoneticPr fontId="1" type="noConversion"/>
  </si>
  <si>
    <t>宣榮</t>
    <phoneticPr fontId="1" type="noConversion"/>
  </si>
  <si>
    <t>王小姐 採購</t>
    <phoneticPr fontId="1" type="noConversion"/>
  </si>
  <si>
    <t>廖小姐 採購</t>
    <phoneticPr fontId="1" type="noConversion"/>
  </si>
  <si>
    <t>劉小姐 採購</t>
    <phoneticPr fontId="1" type="noConversion"/>
  </si>
  <si>
    <t>EDM生意差，劉小姐月底離職去合力凱精密機械，接下來就由林總直接負責採購,暫無新產品線，尼爾庫存都還很多</t>
    <phoneticPr fontId="1" type="noConversion"/>
  </si>
  <si>
    <t>溫控俵生意好但用不到SCR，電力控制器/電熱調整器要等客戶下單，再決定用Semicron或耀迅的料</t>
    <phoneticPr fontId="1" type="noConversion"/>
  </si>
  <si>
    <t>融接機的Fred六月盤點需求</t>
    <phoneticPr fontId="1" type="noConversion"/>
  </si>
  <si>
    <t>自我介紹、提供規格書，留聯絡方式</t>
    <phoneticPr fontId="1" type="noConversion"/>
  </si>
  <si>
    <t>- 雙軸驅動器,30kW伺服馬達，預期年產量500~1000台
    - IGBT6顆裝200A, 1200V
    - IGBT2顆裝150A, 1200 V
    - 三相整流橋+SCR，200A，ES250T3GG-160T，ES200T3GG-160T
- 既有產品線13kW伺服馬達
    - IGBT7顆裝150A, 1200 V
目前孚佑導入的獅門IGBT與固馳SCR已測過</t>
    <phoneticPr fontId="1" type="noConversion"/>
  </si>
  <si>
    <t>伸昌</t>
    <phoneticPr fontId="1" type="noConversion"/>
  </si>
  <si>
    <t>林副理</t>
    <phoneticPr fontId="1" type="noConversion"/>
  </si>
  <si>
    <t>沒接</t>
    <phoneticPr fontId="1" type="noConversion"/>
  </si>
  <si>
    <t>伺達控制</t>
    <phoneticPr fontId="1" type="noConversion"/>
  </si>
  <si>
    <t>張湘梅 採購副總</t>
    <phoneticPr fontId="1" type="noConversion"/>
  </si>
  <si>
    <t>伺服馬達沒打算出新機種，既有量產品有顧問要求品質，持續用富士的IGBT，沒有更換的打算。若有EIT型錄再寄給他們</t>
    <phoneticPr fontId="1" type="noConversion"/>
  </si>
  <si>
    <t>京華超音波</t>
    <phoneticPr fontId="1" type="noConversion"/>
  </si>
  <si>
    <t>RD 魏憲忠</t>
    <phoneticPr fontId="1" type="noConversion"/>
  </si>
  <si>
    <t>東洋機電</t>
    <phoneticPr fontId="1" type="noConversion"/>
  </si>
  <si>
    <t>陳明輝 RD兼採購兼業務</t>
    <phoneticPr fontId="1" type="noConversion"/>
  </si>
  <si>
    <t>目前還是用IXYS 跟尼爾的SCR，有興趣了解我們的服務，約5/25下周一見面。廖彥智現在是董事長。</t>
    <phoneticPr fontId="1" type="noConversion"/>
  </si>
  <si>
    <t>偉祺</t>
    <phoneticPr fontId="1" type="noConversion"/>
  </si>
  <si>
    <t>約下周一5/25談報價</t>
    <phoneticPr fontId="1" type="noConversion"/>
  </si>
  <si>
    <t>東廣</t>
    <phoneticPr fontId="1" type="noConversion"/>
  </si>
  <si>
    <t>陳小姐 採購</t>
    <phoneticPr fontId="1" type="noConversion"/>
  </si>
  <si>
    <t>貿易商，曾因為日本客戶想買大陸品，又不願意找大陸，所以東廣才來找我們。請我們發EIT品牌介紹或型錄，納入他們代理範圍中。</t>
    <phoneticPr fontId="1" type="noConversion"/>
  </si>
  <si>
    <t>張峻偉 (RD/採購)</t>
    <phoneticPr fontId="1" type="noConversion"/>
  </si>
  <si>
    <t>伸昌</t>
    <phoneticPr fontId="1" type="noConversion"/>
  </si>
  <si>
    <t>林真沅 副理</t>
    <phoneticPr fontId="1" type="noConversion"/>
  </si>
  <si>
    <t>忙出貨，之後再約</t>
    <phoneticPr fontId="1" type="noConversion"/>
  </si>
  <si>
    <t>亞星</t>
    <phoneticPr fontId="1" type="noConversion"/>
  </si>
  <si>
    <t>採購 張小姐</t>
    <phoneticPr fontId="1" type="noConversion"/>
  </si>
  <si>
    <t>沒講好</t>
    <phoneticPr fontId="1" type="noConversion"/>
  </si>
  <si>
    <t>正頻</t>
    <phoneticPr fontId="1" type="noConversion"/>
  </si>
  <si>
    <t>廖玟育經理</t>
    <phoneticPr fontId="1" type="noConversion"/>
  </si>
  <si>
    <t>650V的樣品場內測了，1200V還沒</t>
    <phoneticPr fontId="1" type="noConversion"/>
  </si>
  <si>
    <t>關心用量，約之後去南部拜訪</t>
    <phoneticPr fontId="1" type="noConversion"/>
  </si>
  <si>
    <t>尤本德</t>
    <phoneticPr fontId="1" type="noConversion"/>
  </si>
  <si>
    <t>得知大陸廠商報價IGBT 7顆裝150A 1800元、200A 2200元，偉祺有打算直接找大陸廠商。目前所有測試要取代富士的選擇，最終仍以價格為最主要考量點。先報價樣品各兩顆，預計8月初測完給結果。</t>
    <phoneticPr fontId="1" type="noConversion"/>
  </si>
  <si>
    <t>生意差，都開始賣中古機了。SCR庫存還很多，整流都用尼爾。年底會再清點數量，過年前才會下明年的採購。</t>
    <phoneticPr fontId="1" type="noConversion"/>
  </si>
  <si>
    <t>品勛</t>
    <phoneticPr fontId="1" type="noConversion"/>
  </si>
  <si>
    <t>吳小姐 採購</t>
    <phoneticPr fontId="1" type="noConversion"/>
  </si>
  <si>
    <t>有興趣了解EIT牌子，請我們發介紹過去</t>
    <phoneticPr fontId="1" type="noConversion"/>
  </si>
  <si>
    <t>泉承</t>
    <phoneticPr fontId="1" type="noConversion"/>
  </si>
  <si>
    <t>許老闆</t>
    <phoneticPr fontId="1" type="noConversion"/>
  </si>
  <si>
    <t>生意慘，庫存都太多，暫時都不會叫新料。以為我們都還是賣Macmic，之後再約時間跟他當面介紹EIT自有品牌產品線。</t>
    <phoneticPr fontId="1" type="noConversion"/>
  </si>
  <si>
    <t>江經理</t>
    <phoneticPr fontId="1" type="noConversion"/>
  </si>
  <si>
    <t>說我們運來台灣再賣太貴，FRED他直接跟大陸買了</t>
    <phoneticPr fontId="1" type="noConversion"/>
  </si>
  <si>
    <t>宸緯</t>
    <phoneticPr fontId="1" type="noConversion"/>
  </si>
  <si>
    <t>張老闆</t>
    <phoneticPr fontId="1" type="noConversion"/>
  </si>
  <si>
    <t>一直罵宏微壞光光，約6月有到他那邊再前一天預約。</t>
    <phoneticPr fontId="1" type="noConversion"/>
  </si>
  <si>
    <t>冠埕</t>
  </si>
  <si>
    <t xml:space="preserve">黃兆欣 老闆 </t>
    <phoneticPr fontId="1" type="noConversion"/>
  </si>
  <si>
    <t>九德松益</t>
    <phoneticPr fontId="1" type="noConversion"/>
  </si>
  <si>
    <t>亞力</t>
    <phoneticPr fontId="1" type="noConversion"/>
  </si>
  <si>
    <t>許誌仁 RD</t>
    <phoneticPr fontId="1" type="noConversion"/>
  </si>
  <si>
    <t>討論DC充電樁Relay, Fuse需求，Fuse目前用Eaton，再給方案</t>
    <phoneticPr fontId="1" type="noConversion"/>
  </si>
  <si>
    <t>蕭經理認為現階段新項目較重要，舊機沒單也不打算現階段測試新料，且庫存還多，新機韌體測試完才會進行新機的元件整機測試，等新機告一段落才會考慮重測舊機物料</t>
    <phoneticPr fontId="1" type="noConversion"/>
  </si>
  <si>
    <t>確認本次下單的Fred用途，用於維修料</t>
    <phoneticPr fontId="1" type="noConversion"/>
  </si>
  <si>
    <t>陳銘輝</t>
    <phoneticPr fontId="1" type="noConversion"/>
  </si>
  <si>
    <t>六俊電機</t>
  </si>
  <si>
    <t>六俊電機</t>
    <phoneticPr fontId="1" type="noConversion"/>
  </si>
  <si>
    <t>中壢胡特助</t>
    <phoneticPr fontId="1" type="noConversion"/>
  </si>
  <si>
    <t>馗鼎奈米</t>
    <phoneticPr fontId="1" type="noConversion"/>
  </si>
  <si>
    <t>江鴻展先生
研二RD經理</t>
    <phoneticPr fontId="1" type="noConversion"/>
  </si>
  <si>
    <t>不在</t>
    <phoneticPr fontId="1" type="noConversion"/>
  </si>
  <si>
    <t>何小姐 採購</t>
    <phoneticPr fontId="1" type="noConversion"/>
  </si>
  <si>
    <t>請我找研二、研三RD聊聊，研二還是找江經理，研三現在要找王世昌主管#251。之後若有約訪2-3天聯絡前即可</t>
    <phoneticPr fontId="1" type="noConversion"/>
  </si>
  <si>
    <t>林先生 RD</t>
    <phoneticPr fontId="1" type="noConversion"/>
  </si>
  <si>
    <t>胡先生已退休，現在是顧問，以後中壢RD聯絡林先生，但決定用料或要不要測試必須找陳處長或邱先生。公司現在主力在研發無人機馬達。目前IGBT用富士，MOSFET用英飛凌。</t>
    <phoneticPr fontId="1" type="noConversion"/>
  </si>
  <si>
    <t>下午都在開會</t>
    <phoneticPr fontId="1" type="noConversion"/>
  </si>
  <si>
    <t>鄭舜文</t>
    <phoneticPr fontId="1" type="noConversion"/>
  </si>
  <si>
    <t>鐘小姐</t>
    <phoneticPr fontId="1" type="noConversion"/>
  </si>
  <si>
    <t>翁小姐 採購</t>
    <phoneticPr fontId="1" type="noConversion"/>
  </si>
  <si>
    <t>程先生</t>
    <phoneticPr fontId="1" type="noConversion"/>
  </si>
  <si>
    <t>學習溫控與SCR應用架構，後續再回復EK330半橋、EK40 半控的交期，以及能否做白色的EK40 半控</t>
    <phoneticPr fontId="1" type="noConversion"/>
  </si>
  <si>
    <t>DCR720E18的發貨時間延後到8、10、12、明年2月</t>
    <phoneticPr fontId="1" type="noConversion"/>
  </si>
  <si>
    <t>交換聯絡資訊</t>
    <phoneticPr fontId="1" type="noConversion"/>
  </si>
  <si>
    <t>請教Current Sensor相關知識，利愛目前都用台灣泰甫的100A4V霍爾元件做過流過載保護與穩定電流，多年前用NANA，後來NANA被LEM吃掉後，因為交錢與價錢關係才找到台灣廠商。若有價錢低、交期穩定的中國貨，可拿樣品測試。</t>
    <phoneticPr fontId="1" type="noConversion"/>
  </si>
  <si>
    <t>TISHIBA直接跟日本甲神買霍爾元件，一台變頻器用兩顆，兩顆就能夠算出三相電流，放在IGBT後面做回授用。一直以來都直接跟TOSHIBA拿HS-UF200V4B15，不大可能換。</t>
    <phoneticPr fontId="1" type="noConversion"/>
  </si>
  <si>
    <t>許先生RD</t>
    <phoneticPr fontId="1" type="noConversion"/>
  </si>
  <si>
    <t>工業充電機也會用到Current Sensor，但會用分流器來做，霍爾元件能偵測到0.001A，分流器只能到0.1A，但工業用的大多不需要那麼精密，所以用不到霍爾元件。</t>
    <phoneticPr fontId="1" type="noConversion"/>
  </si>
  <si>
    <t>EV充電樁都是用PT100測溫度、用電錶測電流，就他所知霍爾元件會用在有些機構的外部監控工作功率。</t>
    <phoneticPr fontId="1" type="noConversion"/>
  </si>
  <si>
    <t>確認Triac規格，後續再找對應的規格書給他參考。</t>
    <phoneticPr fontId="1" type="noConversion"/>
  </si>
  <si>
    <t>約6/9下午面談Hall Sensor</t>
    <phoneticPr fontId="1" type="noConversion"/>
  </si>
  <si>
    <t>說明330A半橋、40A半控SCR交期與庫存，程先生表示如果330A交期要60天，他們這個月有打算要再下單20顆。至於40AUA，會再盤點用量，下周回覆是否有需要下單。</t>
    <phoneticPr fontId="1" type="noConversion"/>
  </si>
  <si>
    <t>日久電子</t>
    <phoneticPr fontId="1" type="noConversion"/>
  </si>
  <si>
    <t>許老闆不在。目前都不考慮大陸品，但確實有遇到競爭問題生意變差。只請我先發郵件到公司信箱，暫時不主動追蹤，過段時間再嘗試聯絡老闆。</t>
    <phoneticPr fontId="1" type="noConversion"/>
  </si>
  <si>
    <t>南田電機</t>
    <phoneticPr fontId="1" type="noConversion"/>
  </si>
  <si>
    <t>吳老闆</t>
    <phoneticPr fontId="1" type="noConversion"/>
  </si>
  <si>
    <t>目前維修跟接單數量大約1:1，一年約幾十台，穩定跟我們叫料，SCR用在傳統變頻器的變壓與整流，可以做到很大功率，MOSFET則用在新型、體積小的變頻器，但做不到10kW以上。Hall Sensor用LEM的，50、100、150、200、300A都有，寧願價格高一點也希望要穩定。目前都沒有年輕人進來，多接一點維修就接不了新訂單，接了新訂單就做不了維修。若到南部再前一天確認是否有在，到時候看情況拜訪。</t>
    <phoneticPr fontId="1" type="noConversion"/>
  </si>
  <si>
    <t>迴響</t>
    <phoneticPr fontId="1" type="noConversion"/>
  </si>
  <si>
    <t>林小姐 採購</t>
    <phoneticPr fontId="1" type="noConversion"/>
  </si>
  <si>
    <t>愛德利</t>
    <phoneticPr fontId="1" type="noConversion"/>
  </si>
  <si>
    <t>之前就有試過MM的IGBT沒問題，但老闆排斥大陸牌子，吳經理自己是比較高意願，近年也多次跟老闆建議但未獲採納，有興趣了解EIT品牌，會再問問看老闆對於台灣牌子的陸製品看法，之後出差可以去簡報。也有在用Current sensor，過去用LEM、NANA，但後來成功進行電路調整，並修改AD軟體程式，就可改用更便宜的IC型電流感測。</t>
    <phoneticPr fontId="1" type="noConversion"/>
  </si>
  <si>
    <t xml:space="preserve">仕彰自動化 </t>
    <phoneticPr fontId="1" type="noConversion"/>
  </si>
  <si>
    <t>接聽的人說週五沒上班，請我下周再打一次。</t>
    <phoneticPr fontId="1" type="noConversion"/>
  </si>
  <si>
    <t>現在主要做伺服器、變頻器的維修，有許多電子元件都有尋找替代料的需求，但主要的採購李小姐最近因為私事不在，林小姐要再整理一下資料，再跟我們說是那些元件不好找。也有在用current sensor，他們叫做「比流器」，有用LEM也有用甲神，規格他要再查詢一下。到南部可再約</t>
    <phoneticPr fontId="1" type="noConversion"/>
  </si>
  <si>
    <t>TRIAC都用尼爾，再寄信規格書過去供參考</t>
    <phoneticPr fontId="1" type="noConversion"/>
  </si>
  <si>
    <t>鑫成</t>
    <phoneticPr fontId="1" type="noConversion"/>
  </si>
  <si>
    <t>約6/9拜訪</t>
    <phoneticPr fontId="1" type="noConversion"/>
  </si>
  <si>
    <t>陳仕恩 老闆</t>
    <phoneticPr fontId="1" type="noConversion"/>
  </si>
  <si>
    <t>賴豐田 老闆</t>
    <phoneticPr fontId="1" type="noConversion"/>
  </si>
  <si>
    <t>張正堂 經理</t>
    <phoneticPr fontId="1" type="noConversion"/>
  </si>
  <si>
    <t>1. Current Sensor(他們稱為CT)目前用LEM HASS 400-S，一台變頻焊機用兩顆，用來回授，MOQ要1000，價格大約3、4百，如果我們能給MOQ低一點願意換。
2. FRED尼爾有去推，好幾年前曾經測不過，但最近測過了，有在評估之後會有些改跟尼爾拿，覺得我們FRED的MOQ太高。
3. IGBT仍然堅持用三菱，還沒有太鬆動跡象。</t>
    <phoneticPr fontId="1" type="noConversion"/>
  </si>
  <si>
    <t>1. 倉庫裡有約超過10盒泰甫的TESN100A(進貨日期26年1月11日)、約5盒TESN200A(進貨日期25年2月12日)，1盒15顆。
2. Current Sensor分為高頻的closed loop、低頻的Open Loop，分別掛1顆在逆變端，3顆在三相電輸出端，高頻的將近200元，低頻的約100多元，不同安培的價格幾乎沒差。
3. 泰甫的50A那顆不能用，他們現在的做法是拿100A的把現穿進去繞兩圈。
4. 我們的規格書少了最高輸出電壓、承受頻率。
5. 下一步確認利愛有用到的所有型號與用量，整理規格提供資料。</t>
    <phoneticPr fontId="1" type="noConversion"/>
  </si>
  <si>
    <t>陳課長</t>
    <phoneticPr fontId="1" type="noConversion"/>
  </si>
  <si>
    <t>送回郵信封給採購王小姐，約訪陳課長聊current sensor</t>
    <phoneticPr fontId="1" type="noConversion"/>
  </si>
  <si>
    <t>升陽</t>
    <phoneticPr fontId="1" type="noConversion"/>
  </si>
  <si>
    <t>黃先生來要10顆MMK110A160B維修用，告知黃先生已停產，有完整替代方案，但交期正常要等到7月底，會再幫他喬看看能不能提早</t>
    <phoneticPr fontId="1" type="noConversion"/>
  </si>
  <si>
    <t>Allen RD</t>
    <phoneticPr fontId="1" type="noConversion"/>
  </si>
  <si>
    <t>原本約Jeff，但Jeff臨時有事。跟Allen討論current sensor，我們這次給的對應方案不是他們有在用的樣式，會再提供我們明曜現在用的CT型號。</t>
    <phoneticPr fontId="1" type="noConversion"/>
  </si>
  <si>
    <t>瑞鴻在盤點40AUA，問我們目前包裝1箱幾顆，他們再決定接下來要叫幾箱。因為SCR排隊關係，會再電話詢問具體需求數量與需求時間，會盡量幫他安排，另外告知我們準備升級包材，雖然目前1箱100顆，之後可能會有變動。</t>
    <phoneticPr fontId="1" type="noConversion"/>
  </si>
  <si>
    <t>陳課長、蘇副總</t>
    <phoneticPr fontId="1" type="noConversion"/>
  </si>
  <si>
    <t>目前高週波工作頻率從50~3k Hz都有，國際市場部分銷往東南亞為主，輸出多為AC，但他們不用IGBT逆變，而是用傳統的方式用SCR逆變。會用到霍爾元件，200A，一台用2顆，需要能塞得下100寬銅排的規格。再找對應的宏發版本給他們</t>
    <phoneticPr fontId="1" type="noConversion"/>
  </si>
  <si>
    <t>在塭仔圳的工廠用地正在重劃，被拖了好幾年，有影響產能。整流橋庫存還多，暫時沒有新的需求。</t>
    <phoneticPr fontId="1" type="noConversion"/>
  </si>
  <si>
    <t>確認目前利愛再用的所有泰甫hall sensor型號：
輸出端的open loop：TESN100、TESN200、TESN300
IGBT保護端的closed loop：TQDV100A、TQPV200A、TQPV300A</t>
    <phoneticPr fontId="1" type="noConversion"/>
  </si>
  <si>
    <t>告知包裝方式、SCR芯片排隊情形，瑞鴻預計下單210顆，交期確認後再key單。</t>
    <phoneticPr fontId="1" type="noConversion"/>
  </si>
  <si>
    <t>亞力(新莊)</t>
    <phoneticPr fontId="1" type="noConversion"/>
  </si>
  <si>
    <t>劉先生 副處長</t>
    <phoneticPr fontId="1" type="noConversion"/>
  </si>
  <si>
    <t>行競</t>
  </si>
  <si>
    <t>James ME
ZH翟先生 採購頭</t>
    <phoneticPr fontId="1" type="noConversion"/>
  </si>
  <si>
    <t>跟著去認識，亞力新莊CT都用MuRata，on board在pvc上面，輸入、輸出端各一個，輸入50A，輸出以100A、200A為主，年用量約500~1000pcs。</t>
    <phoneticPr fontId="1" type="noConversion"/>
  </si>
  <si>
    <t>跟著認識，主要談之前Relay, Fuse測試狀況，行徑還要微調機構設計，之後就能換成我們的。新討論Busbar，我們的價格有機會有優勢。</t>
    <phoneticPr fontId="1" type="noConversion"/>
  </si>
  <si>
    <t>W26</t>
    <phoneticPr fontId="1" type="noConversion"/>
  </si>
  <si>
    <t>陳建吉 課長</t>
    <phoneticPr fontId="1" type="noConversion"/>
  </si>
  <si>
    <t>盛全</t>
    <phoneticPr fontId="1" type="noConversion"/>
  </si>
  <si>
    <t>藉由訂單機會，打電話過去確認資訊並自我介紹，交換賴</t>
    <phoneticPr fontId="1" type="noConversion"/>
  </si>
  <si>
    <t>詢問現用LEM型號，目前用HAXC2000-S，年用量不到100，價格破千，但LEM現在官方規格只有HAX2000，內孔不到100，五力強調要有內孔大於100的。</t>
    <phoneticPr fontId="1" type="noConversion"/>
  </si>
  <si>
    <t>零九動力</t>
    <phoneticPr fontId="1" type="noConversion"/>
  </si>
  <si>
    <t>張仁陽先生</t>
    <phoneticPr fontId="1" type="noConversion"/>
  </si>
  <si>
    <t>葉俊寬先生RD經理</t>
    <phoneticPr fontId="1" type="noConversion"/>
  </si>
  <si>
    <t>張皓岳先生</t>
    <phoneticPr fontId="1" type="noConversion"/>
  </si>
  <si>
    <t>公司改組成「意凌」，一樣賣馬達、馬達驅動，張皓岳先生已經不在公司，之後找分機24採購蔣小姐，但她這兩天不在公司</t>
    <phoneticPr fontId="1" type="noConversion"/>
  </si>
  <si>
    <t>MM15FU120K他們原本都用在7-8A的機台，最近拿去用在11A的機台結果燒掉，問我們有沒有比較大的有庫存。我們推MM30FU120K，可以出30顆庫存給他們，看他們接不接受報價。</t>
    <phoneticPr fontId="1" type="noConversion"/>
  </si>
  <si>
    <t>主要出1~2馬力的工具機、車床與家用驅動器，一年不到1000台，IGBT以前用富士，現在改用三菱，因為三菱更便宜。主要出台、美，兩邊生意都差，尤其之前受關稅影響出美國都擱置。二極體用虹揚。之後有順路去拜訪。</t>
    <phoneticPr fontId="1" type="noConversion"/>
  </si>
  <si>
    <t>工易自動化</t>
    <phoneticPr fontId="1" type="noConversion"/>
  </si>
  <si>
    <t>力伽</t>
    <phoneticPr fontId="1" type="noConversion"/>
  </si>
  <si>
    <t>徐德宏先生 研發副主任</t>
    <phoneticPr fontId="1" type="noConversion"/>
  </si>
  <si>
    <t>稘興</t>
  </si>
  <si>
    <t>余冠毅先生</t>
    <phoneticPr fontId="1" type="noConversion"/>
  </si>
  <si>
    <t>歐小姐 採購</t>
    <phoneticPr fontId="1" type="noConversion"/>
  </si>
  <si>
    <t>之前出的ES200W3GG-160H樣品，測試結果沒有符合需求，最近不方便約訪。</t>
    <phoneticPr fontId="1" type="noConversion"/>
  </si>
  <si>
    <t>IBGT用在運動器材發電併網中的micro inverter，最近生意不好暫時沒有新的需求，之後隨時可連絡面訪。</t>
    <phoneticPr fontId="1" type="noConversion"/>
  </si>
  <si>
    <t>翊勝</t>
  </si>
  <si>
    <t>李啟銘先生</t>
    <phoneticPr fontId="1" type="noConversion"/>
  </si>
  <si>
    <t>約6/25面訪</t>
    <phoneticPr fontId="1" type="noConversion"/>
  </si>
  <si>
    <t xml:space="preserve">黃介盟 </t>
    <phoneticPr fontId="1" type="noConversion"/>
  </si>
  <si>
    <t>王世昌 主管</t>
    <phoneticPr fontId="1" type="noConversion"/>
  </si>
  <si>
    <t>現在比較少在搞跑步機了，開始做別的生意，約6/29面訪細聊，到時候找龔小姐採購一起。</t>
    <phoneticPr fontId="1" type="noConversion"/>
  </si>
  <si>
    <t>約6/26面訪，跟研三李景翰RD一起。</t>
    <phoneticPr fontId="1" type="noConversion"/>
  </si>
  <si>
    <t>目前比流器用HC-FF075V4BE5，已停產，到目前為止都還找不到替代料，請我們幫忙，但一次大概也只會叫10顆</t>
    <phoneticPr fontId="1" type="noConversion"/>
  </si>
  <si>
    <t>邱靖宏</t>
  </si>
  <si>
    <t>約6/23面訪</t>
    <phoneticPr fontId="1" type="noConversion"/>
  </si>
  <si>
    <t>約6/26面訪，建議我可以再約同一棟的研三</t>
    <phoneticPr fontId="1" type="noConversion"/>
  </si>
  <si>
    <t>盧秀郁小姐</t>
    <phoneticPr fontId="1" type="noConversion"/>
  </si>
  <si>
    <t>SCR決定不用我們的，整流跟尼爾拿。這兩天有接到一些新單比較忙，端午後隨時可面訪。</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</si>
</sst>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9" formatCode="##0.00_ "/>
    <numFmt numFmtId="180" formatCode="##0"/>
    <numFmt numFmtId="181" formatCode="##0.0000_ "/>
    <numFmt numFmtId="182" formatCode="#,##0.00_ "/>
    <numFmt numFmtId="183" formatCode="#,##0.000_ "/>
  </numFmts>
  <fonts count="21">
    <font>
      <sz val="11"/>
      <color theme="1"/>
      <name val="新細明體"/>
      <family val="2"/>
      <scheme val="minor"/>
    </font>
    <font>
      <sz val="9"/>
      <name val="新細明體"/>
      <family val="3"/>
      <charset val="136"/>
      <scheme val="minor"/>
    </font>
    <font>
      <b/>
      <sz val="11"/>
      <color theme="1"/>
      <name val="新細明體"/>
      <family val="1"/>
      <charset val="136"/>
      <scheme val="minor"/>
    </font>
    <font>
      <sz val="12"/>
      <name val="新細明體"/>
      <family val="1"/>
      <charset val="136"/>
    </font>
    <font>
      <sz val="11"/>
      <color theme="1"/>
      <name val="新細明體"/>
      <family val="1"/>
      <charset val="136"/>
      <scheme val="minor"/>
    </font>
    <font>
      <b/>
      <sz val="11"/>
      <color theme="1"/>
      <name val="新細明體"/>
      <family val="1"/>
      <charset val="136"/>
    </font>
    <font>
      <sz val="11"/>
      <color theme="1"/>
      <name val="新細明體"/>
      <family val="1"/>
      <charset val="136"/>
    </font>
    <font>
      <sz val="11"/>
      <color theme="1"/>
      <name val="Calibri"/>
      <family val="1"/>
      <charset val="161"/>
    </font>
    <font>
      <sz val="9"/>
      <name val="新細明體"/>
      <family val="2"/>
      <charset val="136"/>
      <scheme val="minor"/>
    </font>
    <font>
      <b/>
      <sz val="12"/>
      <color theme="1"/>
      <name val="Microsoft JhengHei Light"/>
      <family val="2"/>
      <charset val="136"/>
    </font>
    <font>
      <b/>
      <sz val="12"/>
      <color rgb="FF000000"/>
      <name val="Microsoft JhengHei Light"/>
      <family val="2"/>
      <charset val="136"/>
    </font>
    <font>
      <i/>
      <sz val="12"/>
      <color theme="1"/>
      <name val="Microsoft JhengHei Light"/>
      <family val="2"/>
      <charset val="136"/>
    </font>
    <font>
      <sz val="12"/>
      <color theme="1"/>
      <name val="Microsoft JhengHei Light"/>
      <family val="2"/>
      <charset val="136"/>
    </font>
    <font>
      <sz val="10"/>
      <color rgb="FF000000"/>
      <name val="細明體"/>
      <family val="3"/>
      <charset val="136"/>
    </font>
    <font>
      <sz val="10"/>
      <color indexed="8"/>
      <name val="Arial"/>
      <family val="2"/>
    </font>
    <font>
      <sz val="10"/>
      <color indexed="8"/>
      <name val="細明體"/>
      <family val="3"/>
      <charset val="136"/>
    </font>
    <font>
      <sz val="9"/>
      <name val="細明體"/>
      <family val="3"/>
      <charset val="136"/>
    </font>
    <font>
      <sz val="10"/>
      <color rgb="FF000000"/>
      <name val="新細明體"/>
      <family val="2"/>
      <charset val="136"/>
    </font>
    <font>
      <sz val="12"/>
      <color theme="1"/>
      <name val="新細明體"/>
      <family val="1"/>
      <charset val="136"/>
      <scheme val="minor"/>
    </font>
    <font>
      <i/>
      <sz val="12"/>
      <color theme="1"/>
      <name val="新細明體"/>
      <family val="1"/>
      <charset val="136"/>
      <scheme val="minor"/>
    </font>
    <font>
      <sz val="11"/>
      <color rgb="FFFF0000"/>
      <name val="新細明體"/>
      <family val="1"/>
      <charset val="136"/>
      <scheme val="minor"/>
    </font>
  </fonts>
  <fills count="10">
    <fill>
      <patternFill patternType="none"/>
    </fill>
    <fill>
      <patternFill patternType="gray125"/>
    </fill>
    <fill>
      <patternFill patternType="solid">
        <fgColor rgb="FFDCE6F1"/>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indexed="22"/>
        <bgColor indexed="9"/>
      </patternFill>
    </fill>
    <fill>
      <patternFill patternType="solid">
        <fgColor rgb="FFFFC000"/>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thin">
        <color auto="1"/>
      </left>
      <right style="thin">
        <color auto="1"/>
      </right>
      <top style="medium">
        <color indexed="64"/>
      </top>
      <bottom/>
      <diagonal/>
    </border>
    <border>
      <left style="thin">
        <color auto="1"/>
      </left>
      <right style="thin">
        <color auto="1"/>
      </right>
      <top/>
      <bottom style="medium">
        <color indexed="64"/>
      </bottom>
      <diagonal/>
    </border>
    <border>
      <left style="thin">
        <color auto="1"/>
      </left>
      <right/>
      <top style="thin">
        <color auto="1"/>
      </top>
      <bottom style="thin">
        <color auto="1"/>
      </bottom>
      <diagonal/>
    </border>
    <border>
      <left style="medium">
        <color indexed="64"/>
      </left>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indexed="64"/>
      </left>
      <right style="thin">
        <color indexed="64"/>
      </right>
      <top/>
      <bottom style="thin">
        <color indexed="64"/>
      </bottom>
      <diagonal/>
    </border>
    <border>
      <left style="medium">
        <color indexed="64"/>
      </left>
      <right style="thin">
        <color auto="1"/>
      </right>
      <top/>
      <bottom/>
      <diagonal/>
    </border>
    <border>
      <left style="thin">
        <color auto="1"/>
      </left>
      <right style="medium">
        <color indexed="64"/>
      </right>
      <top/>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thin">
        <color auto="1"/>
      </bottom>
      <diagonal/>
    </border>
    <border>
      <left style="thin">
        <color auto="1"/>
      </left>
      <right style="medium">
        <color indexed="64"/>
      </right>
      <top/>
      <bottom style="thin">
        <color auto="1"/>
      </bottom>
      <diagonal/>
    </border>
    <border>
      <left style="medium">
        <color indexed="64"/>
      </left>
      <right/>
      <top style="thin">
        <color auto="1"/>
      </top>
      <bottom style="medium">
        <color indexed="64"/>
      </bottom>
      <diagonal/>
    </border>
    <border>
      <left style="medium">
        <color indexed="64"/>
      </left>
      <right style="thin">
        <color auto="1"/>
      </right>
      <top style="medium">
        <color indexed="64"/>
      </top>
      <bottom/>
      <diagonal/>
    </border>
    <border>
      <left/>
      <right style="medium">
        <color indexed="64"/>
      </right>
      <top style="thin">
        <color auto="1"/>
      </top>
      <bottom/>
      <diagonal/>
    </border>
    <border>
      <left/>
      <right style="medium">
        <color indexed="64"/>
      </right>
      <top style="thin">
        <color auto="1"/>
      </top>
      <bottom style="thin">
        <color auto="1"/>
      </bottom>
      <diagonal/>
    </border>
    <border>
      <left style="thin">
        <color auto="1"/>
      </left>
      <right style="medium">
        <color indexed="64"/>
      </right>
      <top style="medium">
        <color indexed="64"/>
      </top>
      <bottom/>
      <diagonal/>
    </border>
    <border>
      <left/>
      <right/>
      <top style="thin">
        <color auto="1"/>
      </top>
      <bottom style="thin">
        <color auto="1"/>
      </bottom>
      <diagonal/>
    </border>
    <border>
      <left/>
      <right/>
      <top style="thin">
        <color auto="1"/>
      </top>
      <bottom/>
      <diagonal/>
    </border>
    <border>
      <left style="thin">
        <color auto="1"/>
      </left>
      <right/>
      <top/>
      <bottom style="medium">
        <color indexed="64"/>
      </bottom>
      <diagonal/>
    </border>
  </borders>
  <cellStyleXfs count="3">
    <xf numFmtId="0" fontId="0" fillId="0" borderId="0"/>
    <xf numFmtId="0" fontId="3" fillId="0" borderId="0">
      <alignment vertical="center"/>
    </xf>
    <xf numFmtId="9" fontId="3" fillId="0" borderId="0" applyFont="0" applyFill="0" applyBorder="0" applyAlignment="0" applyProtection="0">
      <alignment vertical="center"/>
    </xf>
  </cellStyleXfs>
  <cellXfs count="157">
    <xf numFmtId="0" fontId="0" fillId="0" borderId="0" xfId="0"/>
    <xf numFmtId="0" fontId="2" fillId="0" borderId="0" xfId="0" applyFont="1" applyAlignment="1">
      <alignment horizontal="left" vertical="center"/>
    </xf>
    <xf numFmtId="14" fontId="2" fillId="0" borderId="0" xfId="0" applyNumberFormat="1" applyFont="1" applyAlignment="1">
      <alignment horizontal="left" vertical="center"/>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2" fillId="2" borderId="5" xfId="0" applyFont="1" applyFill="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14" fontId="2" fillId="0" borderId="8" xfId="0" applyNumberFormat="1" applyFont="1" applyBorder="1" applyAlignment="1">
      <alignment horizontal="left"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2" fillId="3" borderId="5" xfId="0" applyFont="1" applyFill="1" applyBorder="1" applyAlignment="1">
      <alignment horizontal="left" vertical="center"/>
    </xf>
    <xf numFmtId="0" fontId="4" fillId="0" borderId="0" xfId="0" applyFont="1" applyAlignment="1">
      <alignment horizontal="left" vertical="center"/>
    </xf>
    <xf numFmtId="0" fontId="4" fillId="0" borderId="9" xfId="0" applyFont="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5" xfId="0" applyFont="1" applyBorder="1" applyAlignment="1">
      <alignment horizontal="left" vertical="center"/>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4" fillId="0" borderId="16" xfId="0" applyFont="1" applyBorder="1" applyAlignment="1">
      <alignment horizontal="left" vertical="center" wrapText="1"/>
    </xf>
    <xf numFmtId="0" fontId="2" fillId="2" borderId="17" xfId="0" applyFont="1" applyFill="1" applyBorder="1" applyAlignment="1">
      <alignment horizontal="left" vertical="center"/>
    </xf>
    <xf numFmtId="14" fontId="4" fillId="0" borderId="9" xfId="0" applyNumberFormat="1" applyFont="1" applyBorder="1" applyAlignment="1">
      <alignment horizontal="left" vertical="center"/>
    </xf>
    <xf numFmtId="0" fontId="4" fillId="0" borderId="10" xfId="0" applyFont="1" applyBorder="1" applyAlignment="1">
      <alignment horizontal="left" vertical="center"/>
    </xf>
    <xf numFmtId="0" fontId="4" fillId="0" borderId="13" xfId="0" applyFont="1" applyBorder="1" applyAlignment="1">
      <alignment horizontal="left" vertical="center"/>
    </xf>
    <xf numFmtId="14" fontId="4" fillId="0" borderId="11" xfId="0" applyNumberFormat="1" applyFont="1" applyBorder="1" applyAlignment="1">
      <alignment horizontal="left" vertical="center"/>
    </xf>
    <xf numFmtId="0" fontId="4" fillId="0" borderId="0" xfId="0" applyFont="1" applyAlignment="1">
      <alignment horizontal="left" vertical="center" wrapText="1"/>
    </xf>
    <xf numFmtId="0" fontId="4" fillId="0" borderId="19" xfId="0" applyFont="1" applyBorder="1" applyAlignment="1">
      <alignment horizontal="left" vertical="center"/>
    </xf>
    <xf numFmtId="0" fontId="2" fillId="2" borderId="4" xfId="0" applyFont="1" applyFill="1" applyBorder="1" applyAlignment="1">
      <alignment vertical="center"/>
    </xf>
    <xf numFmtId="0" fontId="2" fillId="5" borderId="1" xfId="0" applyFont="1" applyFill="1" applyBorder="1" applyAlignment="1">
      <alignment horizontal="left" vertical="center"/>
    </xf>
    <xf numFmtId="0" fontId="2" fillId="2" borderId="9" xfId="0" applyFont="1" applyFill="1" applyBorder="1" applyAlignment="1">
      <alignment horizontal="left" vertical="center"/>
    </xf>
    <xf numFmtId="0" fontId="2" fillId="2" borderId="1" xfId="0" applyFont="1" applyFill="1" applyBorder="1" applyAlignment="1">
      <alignment horizontal="left" vertical="center"/>
    </xf>
    <xf numFmtId="0" fontId="4" fillId="0" borderId="21" xfId="0" applyFont="1" applyBorder="1" applyAlignment="1">
      <alignment horizontal="left" vertical="center"/>
    </xf>
    <xf numFmtId="0" fontId="4" fillId="0" borderId="16" xfId="0" applyFont="1" applyBorder="1" applyAlignment="1">
      <alignment horizontal="left" vertical="center"/>
    </xf>
    <xf numFmtId="0" fontId="4" fillId="0" borderId="22" xfId="0" applyFont="1" applyBorder="1" applyAlignment="1">
      <alignment horizontal="left" vertical="center"/>
    </xf>
    <xf numFmtId="49" fontId="0" fillId="0" borderId="0" xfId="0" applyNumberFormat="1"/>
    <xf numFmtId="0" fontId="4" fillId="0" borderId="24" xfId="0" applyFont="1" applyBorder="1" applyAlignment="1">
      <alignment horizontal="left" vertical="center"/>
    </xf>
    <xf numFmtId="0" fontId="4" fillId="0" borderId="22" xfId="0" applyFont="1" applyBorder="1" applyAlignment="1">
      <alignment horizontal="left" vertical="center" wrapText="1"/>
    </xf>
    <xf numFmtId="0" fontId="4" fillId="0" borderId="25" xfId="0" applyFont="1" applyBorder="1" applyAlignment="1">
      <alignment horizontal="left" vertical="center" wrapText="1"/>
    </xf>
    <xf numFmtId="0" fontId="4" fillId="0" borderId="26" xfId="0" applyFont="1" applyBorder="1" applyAlignment="1">
      <alignment horizontal="left" vertical="center"/>
    </xf>
    <xf numFmtId="14" fontId="0" fillId="0" borderId="0" xfId="0" applyNumberFormat="1"/>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2" fillId="0" borderId="31" xfId="0" applyFont="1" applyBorder="1" applyAlignment="1">
      <alignment vertical="top" wrapText="1"/>
    </xf>
    <xf numFmtId="0" fontId="12" fillId="0" borderId="18" xfId="0" applyFont="1" applyBorder="1" applyAlignment="1">
      <alignment horizontal="center" vertical="center"/>
    </xf>
    <xf numFmtId="0" fontId="12" fillId="0" borderId="32" xfId="0" applyFont="1" applyBorder="1" applyAlignment="1">
      <alignment vertical="top" wrapText="1"/>
    </xf>
    <xf numFmtId="0" fontId="12" fillId="0" borderId="18" xfId="0" applyFont="1" applyBorder="1" applyAlignment="1">
      <alignment vertical="top" wrapText="1"/>
    </xf>
    <xf numFmtId="0" fontId="12" fillId="0" borderId="32" xfId="0" applyFont="1" applyBorder="1" applyAlignment="1">
      <alignment vertical="top"/>
    </xf>
    <xf numFmtId="0" fontId="0" fillId="8" borderId="0" xfId="0" applyFill="1"/>
    <xf numFmtId="0" fontId="13" fillId="8" borderId="0" xfId="0" applyFont="1" applyFill="1"/>
    <xf numFmtId="179" fontId="0" fillId="0" borderId="0" xfId="0" applyNumberFormat="1"/>
    <xf numFmtId="180" fontId="0" fillId="0" borderId="0" xfId="0" applyNumberFormat="1"/>
    <xf numFmtId="181" fontId="0" fillId="0" borderId="0" xfId="0" applyNumberFormat="1"/>
    <xf numFmtId="182" fontId="0" fillId="0" borderId="0" xfId="0" applyNumberFormat="1"/>
    <xf numFmtId="17" fontId="0" fillId="0" borderId="0" xfId="0" applyNumberFormat="1"/>
    <xf numFmtId="3" fontId="0" fillId="0" borderId="0" xfId="0" applyNumberFormat="1"/>
    <xf numFmtId="183" fontId="0" fillId="0" borderId="0" xfId="0" applyNumberFormat="1"/>
    <xf numFmtId="0" fontId="13" fillId="0" borderId="0" xfId="0" applyFont="1"/>
    <xf numFmtId="49" fontId="0" fillId="9" borderId="0" xfId="0" applyNumberFormat="1" applyFill="1"/>
    <xf numFmtId="179" fontId="0" fillId="9" borderId="0" xfId="0" applyNumberFormat="1" applyFill="1"/>
    <xf numFmtId="180" fontId="0" fillId="9" borderId="0" xfId="0" applyNumberFormat="1" applyFill="1"/>
    <xf numFmtId="181" fontId="0" fillId="9" borderId="0" xfId="0" applyNumberFormat="1" applyFill="1"/>
    <xf numFmtId="182" fontId="0" fillId="9" borderId="0" xfId="0" applyNumberFormat="1" applyFill="1"/>
    <xf numFmtId="17" fontId="0" fillId="9" borderId="0" xfId="0" applyNumberFormat="1" applyFill="1"/>
    <xf numFmtId="0" fontId="0" fillId="9" borderId="0" xfId="0" applyFill="1"/>
    <xf numFmtId="0" fontId="17" fillId="0" borderId="0" xfId="0" applyFont="1"/>
    <xf numFmtId="0" fontId="9" fillId="6" borderId="14" xfId="0" applyFont="1" applyFill="1" applyBorder="1" applyAlignment="1">
      <alignment horizontal="center" vertical="center"/>
    </xf>
    <xf numFmtId="0" fontId="19" fillId="5" borderId="27" xfId="0" applyFont="1" applyFill="1" applyBorder="1" applyAlignment="1">
      <alignment horizontal="center" vertical="center"/>
    </xf>
    <xf numFmtId="0" fontId="19" fillId="5" borderId="28" xfId="0" applyFont="1" applyFill="1" applyBorder="1" applyAlignment="1">
      <alignment horizontal="center" vertical="center"/>
    </xf>
    <xf numFmtId="0" fontId="19" fillId="5" borderId="29" xfId="0" applyFont="1" applyFill="1" applyBorder="1" applyAlignment="1">
      <alignment horizontal="center" vertical="center"/>
    </xf>
    <xf numFmtId="0" fontId="10" fillId="4" borderId="33" xfId="0" applyFont="1" applyFill="1" applyBorder="1" applyAlignment="1">
      <alignment horizontal="left" vertical="center" indent="2" readingOrder="1"/>
    </xf>
    <xf numFmtId="0" fontId="12" fillId="4" borderId="30" xfId="0" applyFont="1" applyFill="1" applyBorder="1" applyAlignment="1">
      <alignment vertical="center" wrapText="1"/>
    </xf>
    <xf numFmtId="0" fontId="12" fillId="4" borderId="23" xfId="0" applyFont="1" applyFill="1" applyBorder="1" applyAlignment="1">
      <alignment vertical="center" wrapText="1"/>
    </xf>
    <xf numFmtId="0" fontId="12" fillId="4" borderId="34" xfId="0" applyFont="1" applyFill="1" applyBorder="1" applyAlignment="1">
      <alignment vertical="center" wrapText="1"/>
    </xf>
    <xf numFmtId="0" fontId="10" fillId="7" borderId="20" xfId="0" applyFont="1" applyFill="1" applyBorder="1" applyAlignment="1">
      <alignment horizontal="left" vertical="center" indent="2" readingOrder="1"/>
    </xf>
    <xf numFmtId="0" fontId="12" fillId="7" borderId="9" xfId="0" applyFont="1" applyFill="1" applyBorder="1" applyAlignment="1">
      <alignment vertical="center" wrapText="1"/>
    </xf>
    <xf numFmtId="0" fontId="12" fillId="7" borderId="1" xfId="0" applyFont="1" applyFill="1" applyBorder="1" applyAlignment="1">
      <alignment vertical="center" wrapText="1"/>
    </xf>
    <xf numFmtId="0" fontId="12" fillId="7" borderId="10" xfId="0" applyFont="1" applyFill="1" applyBorder="1" applyAlignment="1">
      <alignment vertical="center" wrapText="1"/>
    </xf>
    <xf numFmtId="0" fontId="10" fillId="4" borderId="20" xfId="0" applyFont="1" applyFill="1" applyBorder="1" applyAlignment="1">
      <alignment horizontal="left" vertical="center" indent="2" readingOrder="1"/>
    </xf>
    <xf numFmtId="0" fontId="12" fillId="4" borderId="9" xfId="0" applyFont="1" applyFill="1" applyBorder="1" applyAlignment="1">
      <alignment vertical="center" wrapText="1"/>
    </xf>
    <xf numFmtId="0" fontId="12" fillId="4" borderId="1" xfId="0" applyFont="1" applyFill="1" applyBorder="1" applyAlignment="1">
      <alignment vertical="center" wrapText="1"/>
    </xf>
    <xf numFmtId="0" fontId="12" fillId="4" borderId="10" xfId="0" applyFont="1" applyFill="1" applyBorder="1" applyAlignment="1">
      <alignment vertical="center" wrapText="1"/>
    </xf>
    <xf numFmtId="0" fontId="10" fillId="4" borderId="35" xfId="0" applyFont="1" applyFill="1" applyBorder="1" applyAlignment="1">
      <alignment horizontal="left" vertical="center" indent="2" readingOrder="1"/>
    </xf>
    <xf numFmtId="0" fontId="12" fillId="4" borderId="11" xfId="0" applyFont="1" applyFill="1" applyBorder="1" applyAlignment="1">
      <alignment vertical="center" wrapText="1"/>
    </xf>
    <xf numFmtId="0" fontId="12" fillId="4" borderId="12" xfId="0" applyFont="1" applyFill="1" applyBorder="1" applyAlignment="1">
      <alignment vertical="center" wrapText="1"/>
    </xf>
    <xf numFmtId="0" fontId="12" fillId="4" borderId="13" xfId="0" applyFont="1" applyFill="1" applyBorder="1" applyAlignment="1">
      <alignment vertical="center" wrapText="1"/>
    </xf>
    <xf numFmtId="0" fontId="0" fillId="0" borderId="1" xfId="0" applyBorder="1" applyAlignment="1">
      <alignment vertical="center" wrapText="1"/>
    </xf>
    <xf numFmtId="14" fontId="4" fillId="0" borderId="15" xfId="0" applyNumberFormat="1" applyFont="1" applyBorder="1" applyAlignment="1">
      <alignment horizontal="left" vertical="center"/>
    </xf>
    <xf numFmtId="14" fontId="4" fillId="0" borderId="24" xfId="0" applyNumberFormat="1" applyFont="1" applyBorder="1" applyAlignment="1">
      <alignment horizontal="left" vertical="center"/>
    </xf>
    <xf numFmtId="0" fontId="4" fillId="0" borderId="23" xfId="0" applyFont="1" applyBorder="1" applyAlignment="1">
      <alignment horizontal="left" vertical="center"/>
    </xf>
    <xf numFmtId="0" fontId="4" fillId="0" borderId="25" xfId="0" applyFont="1" applyBorder="1" applyAlignment="1">
      <alignment horizontal="left" vertical="center"/>
    </xf>
    <xf numFmtId="14" fontId="4" fillId="0" borderId="0" xfId="0" applyNumberFormat="1" applyFont="1" applyAlignment="1">
      <alignment horizontal="left" vertical="center"/>
    </xf>
    <xf numFmtId="0" fontId="4" fillId="0" borderId="4" xfId="0" applyFont="1" applyBorder="1" applyAlignment="1">
      <alignment horizontal="left" vertical="center"/>
    </xf>
    <xf numFmtId="0" fontId="0" fillId="0" borderId="12" xfId="0" applyBorder="1" applyAlignment="1">
      <alignment vertical="center" wrapText="1"/>
    </xf>
    <xf numFmtId="0" fontId="0" fillId="0" borderId="1" xfId="0" applyBorder="1" applyAlignment="1">
      <alignment wrapText="1"/>
    </xf>
    <xf numFmtId="14" fontId="4" fillId="0" borderId="1" xfId="0" applyNumberFormat="1" applyFont="1" applyBorder="1" applyAlignment="1">
      <alignment horizontal="left" vertical="center"/>
    </xf>
    <xf numFmtId="10" fontId="4" fillId="0" borderId="0" xfId="0" applyNumberFormat="1" applyFont="1" applyAlignment="1">
      <alignment horizontal="center" vertical="center"/>
    </xf>
    <xf numFmtId="0" fontId="18" fillId="0" borderId="0" xfId="0" applyFont="1" applyAlignment="1">
      <alignment horizontal="center" vertical="center" wrapText="1"/>
    </xf>
    <xf numFmtId="14" fontId="4" fillId="0" borderId="1" xfId="0" applyNumberFormat="1" applyFont="1" applyBorder="1" applyAlignment="1">
      <alignment vertical="center"/>
    </xf>
    <xf numFmtId="0" fontId="4" fillId="0" borderId="1" xfId="0" applyFont="1" applyBorder="1" applyAlignment="1">
      <alignment vertical="center"/>
    </xf>
    <xf numFmtId="0" fontId="0" fillId="0" borderId="1" xfId="0" applyBorder="1" applyAlignment="1">
      <alignment vertical="center"/>
    </xf>
    <xf numFmtId="0" fontId="4" fillId="0" borderId="1" xfId="0" applyFont="1" applyBorder="1" applyAlignment="1">
      <alignment vertical="center" wrapText="1"/>
    </xf>
    <xf numFmtId="0" fontId="20" fillId="0" borderId="1" xfId="0" applyFont="1" applyBorder="1" applyAlignment="1">
      <alignment horizontal="left" vertical="center"/>
    </xf>
    <xf numFmtId="0" fontId="20" fillId="0" borderId="0" xfId="0" applyFont="1"/>
    <xf numFmtId="0" fontId="20" fillId="0" borderId="0" xfId="0" applyFont="1" applyAlignment="1">
      <alignment horizontal="left" vertical="center"/>
    </xf>
    <xf numFmtId="0" fontId="20" fillId="0" borderId="0" xfId="0" applyFont="1" applyAlignment="1">
      <alignment horizontal="left" vertical="center" wrapText="1"/>
    </xf>
    <xf numFmtId="14" fontId="0" fillId="0" borderId="1" xfId="0" applyNumberFormat="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wrapText="1"/>
    </xf>
    <xf numFmtId="0" fontId="20"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0" fillId="0" borderId="1" xfId="0" applyBorder="1" applyAlignment="1">
      <alignment horizontal="left" vertical="center"/>
    </xf>
    <xf numFmtId="0" fontId="0" fillId="0" borderId="1" xfId="0" quotePrefix="1" applyBorder="1" applyAlignment="1">
      <alignment horizontal="left" vertical="center" wrapText="1"/>
    </xf>
    <xf numFmtId="14" fontId="0" fillId="0" borderId="0" xfId="0" applyNumberFormat="1" applyAlignment="1">
      <alignment horizontal="left" vertical="center" wrapText="1"/>
    </xf>
    <xf numFmtId="0" fontId="0" fillId="0" borderId="0" xfId="0" applyAlignment="1">
      <alignment horizontal="left" vertical="center" wrapText="1"/>
    </xf>
    <xf numFmtId="0" fontId="4" fillId="0" borderId="9" xfId="0" applyFont="1" applyBorder="1" applyAlignment="1">
      <alignment horizontal="left" vertical="center"/>
    </xf>
    <xf numFmtId="0" fontId="4" fillId="0" borderId="1" xfId="0" applyFont="1" applyBorder="1" applyAlignment="1">
      <alignment horizontal="center" vertical="center"/>
    </xf>
    <xf numFmtId="10" fontId="4" fillId="0" borderId="10" xfId="0" applyNumberFormat="1" applyFont="1" applyBorder="1" applyAlignment="1">
      <alignment horizontal="center" vertical="center"/>
    </xf>
    <xf numFmtId="0" fontId="4" fillId="0" borderId="1" xfId="0" applyFont="1" applyBorder="1" applyAlignment="1">
      <alignment horizontal="left" vertical="center"/>
    </xf>
    <xf numFmtId="0" fontId="2" fillId="2" borderId="1" xfId="0" applyFont="1" applyFill="1" applyBorder="1" applyAlignment="1">
      <alignment horizontal="center" vertical="center"/>
    </xf>
    <xf numFmtId="0" fontId="2" fillId="2" borderId="10" xfId="0" applyFont="1" applyFill="1" applyBorder="1" applyAlignment="1">
      <alignment horizontal="center" vertical="center"/>
    </xf>
    <xf numFmtId="0" fontId="4" fillId="0" borderId="11" xfId="0" applyFont="1" applyBorder="1" applyAlignment="1">
      <alignment horizontal="left" vertical="center"/>
    </xf>
    <xf numFmtId="10" fontId="4" fillId="0" borderId="1" xfId="0" applyNumberFormat="1" applyFont="1" applyBorder="1" applyAlignment="1">
      <alignment horizontal="center" vertical="center"/>
    </xf>
    <xf numFmtId="10" fontId="4" fillId="0" borderId="12" xfId="0" applyNumberFormat="1" applyFont="1" applyBorder="1" applyAlignment="1">
      <alignment horizontal="center" vertical="center"/>
    </xf>
    <xf numFmtId="10" fontId="4" fillId="0" borderId="13" xfId="0" applyNumberFormat="1" applyFont="1" applyBorder="1" applyAlignment="1">
      <alignment horizontal="center" vertical="center"/>
    </xf>
    <xf numFmtId="0" fontId="4" fillId="0" borderId="3" xfId="0" applyFont="1" applyBorder="1" applyAlignment="1">
      <alignment horizontal="left" vertical="center"/>
    </xf>
    <xf numFmtId="0" fontId="4" fillId="0" borderId="4" xfId="0" applyFont="1" applyBorder="1" applyAlignment="1">
      <alignment horizontal="center" vertical="center"/>
    </xf>
    <xf numFmtId="10" fontId="4" fillId="0" borderId="5" xfId="0" applyNumberFormat="1" applyFont="1" applyBorder="1" applyAlignment="1">
      <alignment horizontal="center" vertical="center"/>
    </xf>
    <xf numFmtId="0" fontId="4" fillId="0" borderId="36" xfId="0" applyFont="1" applyBorder="1" applyAlignment="1">
      <alignment horizontal="left" vertical="center"/>
    </xf>
    <xf numFmtId="0" fontId="4" fillId="0" borderId="24" xfId="0" applyFont="1" applyBorder="1" applyAlignment="1">
      <alignment horizontal="left" vertical="center"/>
    </xf>
    <xf numFmtId="0" fontId="4" fillId="0" borderId="30" xfId="0" applyFont="1" applyBorder="1" applyAlignment="1">
      <alignment horizontal="left" vertical="center"/>
    </xf>
    <xf numFmtId="0" fontId="4" fillId="0" borderId="17"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10" fontId="4" fillId="0" borderId="39" xfId="0" applyNumberFormat="1" applyFont="1" applyBorder="1" applyAlignment="1">
      <alignment horizontal="center" vertical="center"/>
    </xf>
    <xf numFmtId="10" fontId="4" fillId="0" borderId="25" xfId="0" applyNumberFormat="1" applyFont="1" applyBorder="1" applyAlignment="1">
      <alignment horizontal="center" vertical="center"/>
    </xf>
    <xf numFmtId="10" fontId="4" fillId="0" borderId="34" xfId="0" applyNumberFormat="1" applyFont="1" applyBorder="1" applyAlignment="1">
      <alignment horizontal="center" vertical="center"/>
    </xf>
    <xf numFmtId="0" fontId="4" fillId="0" borderId="2" xfId="0" applyFont="1" applyBorder="1" applyAlignment="1">
      <alignment horizontal="left" vertical="center"/>
    </xf>
    <xf numFmtId="0" fontId="4" fillId="0" borderId="23" xfId="0" applyFont="1" applyBorder="1" applyAlignment="1">
      <alignment horizontal="left" vertical="center"/>
    </xf>
    <xf numFmtId="0" fontId="2" fillId="2" borderId="19"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38" xfId="0" applyFont="1" applyFill="1" applyBorder="1" applyAlignment="1">
      <alignment horizontal="center" vertical="center"/>
    </xf>
    <xf numFmtId="0" fontId="4" fillId="0" borderId="15" xfId="0" applyFont="1" applyBorder="1" applyAlignment="1">
      <alignment horizontal="left" vertical="center"/>
    </xf>
    <xf numFmtId="0" fontId="4" fillId="0" borderId="31" xfId="0" applyFont="1" applyBorder="1" applyAlignment="1">
      <alignment horizontal="left" vertical="center"/>
    </xf>
    <xf numFmtId="10" fontId="4" fillId="0" borderId="21" xfId="0" applyNumberFormat="1" applyFont="1" applyBorder="1" applyAlignment="1">
      <alignment horizontal="center" vertical="center"/>
    </xf>
    <xf numFmtId="10" fontId="4" fillId="0" borderId="41" xfId="0" applyNumberFormat="1" applyFont="1" applyBorder="1" applyAlignment="1">
      <alignment horizontal="center" vertical="center"/>
    </xf>
    <xf numFmtId="10" fontId="4" fillId="0" borderId="37" xfId="0" applyNumberFormat="1" applyFont="1" applyBorder="1" applyAlignment="1">
      <alignment horizontal="center" vertical="center"/>
    </xf>
    <xf numFmtId="10" fontId="4" fillId="0" borderId="42" xfId="0" applyNumberFormat="1" applyFont="1" applyBorder="1" applyAlignment="1">
      <alignment horizontal="center" vertical="center"/>
    </xf>
    <xf numFmtId="10" fontId="4" fillId="0" borderId="7" xfId="0" applyNumberFormat="1" applyFont="1" applyBorder="1" applyAlignment="1">
      <alignment horizontal="center" vertical="center"/>
    </xf>
    <xf numFmtId="10" fontId="4" fillId="0" borderId="8" xfId="0" applyNumberFormat="1" applyFont="1" applyBorder="1" applyAlignment="1">
      <alignment horizontal="center" vertical="center"/>
    </xf>
  </cellXfs>
  <cellStyles count="3">
    <cellStyle name="一般" xfId="0" builtinId="0"/>
    <cellStyle name="一般 2" xfId="1" xr:uid="{13446AF2-38F3-42F8-9512-61221946B27B}"/>
    <cellStyle name="百分比 2" xfId="2" xr:uid="{1E153426-25C0-41BE-B9BC-5E928036F58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3"/>
  <sheetViews>
    <sheetView workbookViewId="0">
      <selection activeCell="C34" sqref="C34"/>
    </sheetView>
  </sheetViews>
  <sheetFormatPr defaultColWidth="9.140625" defaultRowHeight="15.75"/>
  <cols>
    <col min="1" max="1" width="25.7109375" style="14" customWidth="1"/>
    <col min="2" max="2" width="10.42578125" style="14" customWidth="1"/>
    <col min="3" max="3" width="36.5703125" style="14" customWidth="1"/>
    <col min="4" max="4" width="55.85546875" style="14" customWidth="1"/>
    <col min="5" max="5" width="11.7109375" style="14" customWidth="1"/>
    <col min="6" max="6" width="61.42578125" style="14" customWidth="1"/>
    <col min="7" max="7" width="23.5703125" style="14" customWidth="1"/>
    <col min="8" max="8" width="41.42578125" style="14" customWidth="1"/>
    <col min="9" max="9" width="25.7109375" style="14" customWidth="1"/>
    <col min="10" max="16384" width="9.140625" style="14"/>
  </cols>
  <sheetData>
    <row r="1" spans="1:9" s="1" customFormat="1">
      <c r="A1" s="3" t="s">
        <v>0</v>
      </c>
      <c r="B1" s="4" t="s">
        <v>1</v>
      </c>
      <c r="C1" s="5" t="s">
        <v>2</v>
      </c>
    </row>
    <row r="2" spans="1:9" s="1" customFormat="1" ht="16.5" thickBot="1">
      <c r="A2" s="6" t="s">
        <v>43</v>
      </c>
      <c r="B2" s="7" t="s">
        <v>1089</v>
      </c>
      <c r="C2" s="8">
        <v>46055</v>
      </c>
      <c r="D2" s="2"/>
      <c r="F2" s="2"/>
    </row>
    <row r="3" spans="1:9" s="1" customFormat="1">
      <c r="C3" s="2"/>
      <c r="D3" s="2"/>
      <c r="F3" s="2"/>
    </row>
    <row r="4" spans="1:9" ht="16.5" thickBot="1"/>
    <row r="5" spans="1:9">
      <c r="A5" s="3" t="s">
        <v>3</v>
      </c>
      <c r="B5" s="27" t="s">
        <v>11</v>
      </c>
      <c r="C5" s="27" t="s">
        <v>4</v>
      </c>
      <c r="D5" s="27" t="s">
        <v>38</v>
      </c>
      <c r="E5" s="4" t="s">
        <v>39</v>
      </c>
      <c r="F5" s="4" t="s">
        <v>5</v>
      </c>
      <c r="G5" s="4" t="s">
        <v>6</v>
      </c>
      <c r="H5" s="5" t="s">
        <v>7</v>
      </c>
      <c r="I5" s="13" t="s">
        <v>13</v>
      </c>
    </row>
    <row r="6" spans="1:9" ht="63">
      <c r="A6" s="15" t="s">
        <v>15</v>
      </c>
      <c r="B6" s="16" t="s">
        <v>8</v>
      </c>
      <c r="C6" s="17" t="s">
        <v>44</v>
      </c>
      <c r="D6" s="17" t="s">
        <v>46</v>
      </c>
      <c r="E6" s="16" t="s">
        <v>40</v>
      </c>
      <c r="F6" s="17" t="s">
        <v>45</v>
      </c>
      <c r="G6" s="17" t="s">
        <v>47</v>
      </c>
      <c r="H6" s="18" t="s">
        <v>48</v>
      </c>
      <c r="I6" s="18"/>
    </row>
    <row r="7" spans="1:9" ht="110.25">
      <c r="A7" s="15"/>
      <c r="B7" s="16" t="s">
        <v>9</v>
      </c>
      <c r="C7" s="17" t="s">
        <v>50</v>
      </c>
      <c r="D7" s="17" t="s">
        <v>51</v>
      </c>
      <c r="E7" s="16" t="s">
        <v>40</v>
      </c>
      <c r="F7" s="17" t="s">
        <v>54</v>
      </c>
      <c r="G7" s="17" t="s">
        <v>52</v>
      </c>
      <c r="H7" s="18" t="s">
        <v>53</v>
      </c>
      <c r="I7" s="18"/>
    </row>
    <row r="8" spans="1:9" ht="110.25">
      <c r="A8" s="15"/>
      <c r="B8" s="16" t="s">
        <v>10</v>
      </c>
      <c r="C8" s="17" t="s">
        <v>50</v>
      </c>
      <c r="D8" s="17" t="s">
        <v>118</v>
      </c>
      <c r="E8" s="16" t="s">
        <v>40</v>
      </c>
      <c r="F8" s="17" t="s">
        <v>119</v>
      </c>
      <c r="G8" s="17" t="s">
        <v>52</v>
      </c>
      <c r="H8" s="18" t="s">
        <v>120</v>
      </c>
      <c r="I8" s="18"/>
    </row>
    <row r="9" spans="1:9" ht="173.25">
      <c r="A9" s="15"/>
      <c r="B9" s="16" t="s">
        <v>17</v>
      </c>
      <c r="C9" s="17" t="s">
        <v>50</v>
      </c>
      <c r="D9" s="17" t="s">
        <v>181</v>
      </c>
      <c r="E9" s="16" t="s">
        <v>40</v>
      </c>
      <c r="F9" s="17" t="s">
        <v>182</v>
      </c>
      <c r="G9" s="17" t="s">
        <v>179</v>
      </c>
      <c r="H9" s="18" t="s">
        <v>180</v>
      </c>
      <c r="I9" s="18"/>
    </row>
    <row r="10" spans="1:9" ht="63">
      <c r="A10" s="15"/>
      <c r="B10" s="16" t="s">
        <v>19</v>
      </c>
      <c r="C10" s="17" t="s">
        <v>268</v>
      </c>
      <c r="D10" s="17" t="s">
        <v>269</v>
      </c>
      <c r="E10" s="16" t="s">
        <v>40</v>
      </c>
      <c r="F10" s="17" t="s">
        <v>270</v>
      </c>
      <c r="G10" s="17"/>
      <c r="H10" s="18" t="s">
        <v>271</v>
      </c>
      <c r="I10" s="18"/>
    </row>
    <row r="11" spans="1:9" ht="78.75">
      <c r="A11" s="15"/>
      <c r="B11" s="16" t="s">
        <v>21</v>
      </c>
      <c r="C11" s="17" t="s">
        <v>268</v>
      </c>
      <c r="D11" s="17" t="s">
        <v>325</v>
      </c>
      <c r="E11" s="16" t="s">
        <v>40</v>
      </c>
      <c r="F11" s="17" t="s">
        <v>326</v>
      </c>
      <c r="G11" s="17"/>
      <c r="H11" s="18" t="s">
        <v>327</v>
      </c>
      <c r="I11" s="18"/>
    </row>
    <row r="12" spans="1:9" ht="31.5">
      <c r="A12" s="15"/>
      <c r="B12" s="16" t="s">
        <v>23</v>
      </c>
      <c r="C12" s="17" t="s">
        <v>401</v>
      </c>
      <c r="D12" s="17" t="s">
        <v>402</v>
      </c>
      <c r="E12" s="16" t="s">
        <v>41</v>
      </c>
      <c r="F12" s="17" t="s">
        <v>403</v>
      </c>
      <c r="G12" s="17"/>
      <c r="H12" s="18" t="s">
        <v>404</v>
      </c>
      <c r="I12" s="18"/>
    </row>
    <row r="13" spans="1:9" ht="31.5">
      <c r="A13" s="15"/>
      <c r="B13" s="16" t="s">
        <v>26</v>
      </c>
      <c r="C13" s="17" t="s">
        <v>401</v>
      </c>
      <c r="D13" s="17" t="s">
        <v>429</v>
      </c>
      <c r="E13" s="16"/>
      <c r="F13" s="17"/>
      <c r="G13" s="17"/>
      <c r="H13" s="18" t="s">
        <v>430</v>
      </c>
      <c r="I13" s="18"/>
    </row>
    <row r="14" spans="1:9" ht="47.25">
      <c r="A14" s="15"/>
      <c r="B14" s="16" t="s">
        <v>27</v>
      </c>
      <c r="C14" s="17" t="s">
        <v>401</v>
      </c>
      <c r="D14" s="17" t="s">
        <v>486</v>
      </c>
      <c r="E14" s="16" t="s">
        <v>40</v>
      </c>
      <c r="F14" s="17" t="s">
        <v>487</v>
      </c>
      <c r="G14" s="17"/>
      <c r="H14" s="18" t="s">
        <v>488</v>
      </c>
      <c r="I14" s="18"/>
    </row>
    <row r="15" spans="1:9" ht="31.5">
      <c r="A15" s="15"/>
      <c r="B15" s="16" t="s">
        <v>28</v>
      </c>
      <c r="C15" s="16" t="s">
        <v>518</v>
      </c>
      <c r="D15" s="16" t="s">
        <v>519</v>
      </c>
      <c r="E15" s="16" t="s">
        <v>40</v>
      </c>
      <c r="F15" s="17" t="s">
        <v>520</v>
      </c>
      <c r="G15" s="17"/>
      <c r="H15" s="18" t="s">
        <v>521</v>
      </c>
      <c r="I15" s="18"/>
    </row>
    <row r="16" spans="1:9" ht="47.25">
      <c r="A16" s="23"/>
      <c r="B16" s="16" t="s">
        <v>29</v>
      </c>
      <c r="C16" s="16" t="s">
        <v>518</v>
      </c>
      <c r="D16" s="16" t="s">
        <v>615</v>
      </c>
      <c r="E16" s="16" t="s">
        <v>40</v>
      </c>
      <c r="F16" s="17" t="s">
        <v>554</v>
      </c>
      <c r="G16" s="25"/>
      <c r="H16" s="26" t="s">
        <v>616</v>
      </c>
      <c r="I16" s="26"/>
    </row>
    <row r="17" spans="1:9">
      <c r="A17" s="23"/>
      <c r="B17" s="16" t="s">
        <v>30</v>
      </c>
      <c r="C17" s="16"/>
      <c r="D17" s="16" t="s">
        <v>613</v>
      </c>
      <c r="E17" s="16"/>
      <c r="F17" s="17"/>
      <c r="G17" s="25"/>
      <c r="H17" s="26"/>
      <c r="I17" s="26"/>
    </row>
    <row r="18" spans="1:9" ht="47.25">
      <c r="A18" s="23"/>
      <c r="B18" s="16" t="s">
        <v>31</v>
      </c>
      <c r="C18" s="16" t="s">
        <v>518</v>
      </c>
      <c r="D18" s="16" t="s">
        <v>614</v>
      </c>
      <c r="E18" s="16" t="s">
        <v>40</v>
      </c>
      <c r="F18" s="32" t="s">
        <v>617</v>
      </c>
      <c r="G18" s="25"/>
      <c r="H18" s="26" t="s">
        <v>618</v>
      </c>
      <c r="I18" s="26"/>
    </row>
    <row r="19" spans="1:9" ht="126">
      <c r="A19" s="23"/>
      <c r="B19" s="16" t="s">
        <v>32</v>
      </c>
      <c r="C19" s="16" t="s">
        <v>518</v>
      </c>
      <c r="D19" s="16" t="s">
        <v>673</v>
      </c>
      <c r="E19" s="16" t="s">
        <v>40</v>
      </c>
      <c r="F19" s="17" t="s">
        <v>674</v>
      </c>
      <c r="G19" s="25"/>
      <c r="H19" s="26" t="s">
        <v>675</v>
      </c>
      <c r="I19" s="26"/>
    </row>
    <row r="20" spans="1:9" ht="47.25">
      <c r="A20" s="23"/>
      <c r="B20" s="16" t="s">
        <v>33</v>
      </c>
      <c r="C20" s="16" t="s">
        <v>518</v>
      </c>
      <c r="D20" s="17" t="s">
        <v>747</v>
      </c>
      <c r="E20" s="16" t="s">
        <v>41</v>
      </c>
      <c r="F20" s="17" t="s">
        <v>748</v>
      </c>
      <c r="G20" s="25"/>
      <c r="H20" s="26" t="s">
        <v>749</v>
      </c>
      <c r="I20" s="26"/>
    </row>
    <row r="21" spans="1:9" ht="31.5">
      <c r="A21" s="23"/>
      <c r="B21" s="16" t="s">
        <v>34</v>
      </c>
      <c r="C21" s="16" t="s">
        <v>518</v>
      </c>
      <c r="D21" s="17" t="s">
        <v>808</v>
      </c>
      <c r="E21" s="16" t="s">
        <v>41</v>
      </c>
      <c r="F21" s="17" t="s">
        <v>809</v>
      </c>
      <c r="G21" s="25"/>
      <c r="H21" s="26"/>
      <c r="I21" s="26"/>
    </row>
    <row r="22" spans="1:9" ht="47.25">
      <c r="A22" s="23"/>
      <c r="B22" s="16" t="s">
        <v>35</v>
      </c>
      <c r="C22" s="17" t="s">
        <v>877</v>
      </c>
      <c r="D22" s="17" t="s">
        <v>878</v>
      </c>
      <c r="E22" s="16" t="s">
        <v>40</v>
      </c>
      <c r="F22" s="17" t="s">
        <v>880</v>
      </c>
      <c r="G22" s="25"/>
      <c r="H22" s="26" t="s">
        <v>879</v>
      </c>
      <c r="I22" s="26"/>
    </row>
    <row r="23" spans="1:9" ht="31.5">
      <c r="A23" s="23"/>
      <c r="B23" s="16" t="s">
        <v>36</v>
      </c>
      <c r="C23" s="17" t="s">
        <v>877</v>
      </c>
      <c r="D23" s="25" t="s">
        <v>932</v>
      </c>
      <c r="E23" s="16" t="s">
        <v>41</v>
      </c>
      <c r="F23" s="17" t="s">
        <v>933</v>
      </c>
      <c r="G23" s="25"/>
      <c r="H23" s="26"/>
      <c r="I23" s="26"/>
    </row>
    <row r="24" spans="1:9" s="45" customFormat="1" ht="63">
      <c r="A24" s="15"/>
      <c r="B24" s="16" t="s">
        <v>37</v>
      </c>
      <c r="C24" s="17" t="s">
        <v>877</v>
      </c>
      <c r="D24" s="17" t="s">
        <v>975</v>
      </c>
      <c r="E24" s="16" t="s">
        <v>40</v>
      </c>
      <c r="F24" s="17" t="s">
        <v>976</v>
      </c>
      <c r="G24" s="17"/>
      <c r="H24" s="18" t="s">
        <v>977</v>
      </c>
      <c r="I24" s="18"/>
    </row>
    <row r="25" spans="1:9" ht="78.75">
      <c r="A25" s="42"/>
      <c r="B25" s="40" t="s">
        <v>908</v>
      </c>
      <c r="C25" s="17" t="s">
        <v>877</v>
      </c>
      <c r="D25" s="43" t="s">
        <v>1002</v>
      </c>
      <c r="E25" s="40"/>
      <c r="F25" s="43" t="s">
        <v>1003</v>
      </c>
      <c r="G25" s="43"/>
      <c r="H25" s="44" t="s">
        <v>1004</v>
      </c>
      <c r="I25" s="44"/>
    </row>
    <row r="26" spans="1:9" ht="31.5">
      <c r="A26" s="23"/>
      <c r="B26" s="24" t="s">
        <v>909</v>
      </c>
      <c r="C26" s="17" t="s">
        <v>877</v>
      </c>
      <c r="D26" s="25" t="s">
        <v>1053</v>
      </c>
      <c r="E26" s="24"/>
      <c r="F26" s="25" t="s">
        <v>1054</v>
      </c>
      <c r="G26" s="25"/>
      <c r="H26" s="26"/>
      <c r="I26" s="26"/>
    </row>
    <row r="27" spans="1:9" ht="47.25">
      <c r="A27" s="23"/>
      <c r="B27" s="24" t="s">
        <v>910</v>
      </c>
      <c r="C27" s="17" t="s">
        <v>1058</v>
      </c>
      <c r="D27" s="25" t="s">
        <v>1059</v>
      </c>
      <c r="E27" s="24" t="s">
        <v>40</v>
      </c>
      <c r="F27" s="25" t="s">
        <v>1060</v>
      </c>
      <c r="G27" s="25"/>
      <c r="H27" s="26"/>
      <c r="I27" s="26"/>
    </row>
    <row r="28" spans="1:9" ht="47.25">
      <c r="A28" s="23"/>
      <c r="B28" s="24" t="s">
        <v>929</v>
      </c>
      <c r="C28" s="17" t="s">
        <v>1058</v>
      </c>
      <c r="D28" s="25" t="s">
        <v>1074</v>
      </c>
      <c r="E28" s="24" t="s">
        <v>41</v>
      </c>
      <c r="F28" s="25" t="s">
        <v>1074</v>
      </c>
      <c r="G28" s="25"/>
      <c r="H28" s="26" t="s">
        <v>1075</v>
      </c>
      <c r="I28" s="26"/>
    </row>
    <row r="29" spans="1:9" ht="54.75" customHeight="1" thickBot="1">
      <c r="A29" s="19"/>
      <c r="B29" s="20" t="s">
        <v>930</v>
      </c>
      <c r="C29" s="21" t="s">
        <v>1058</v>
      </c>
      <c r="D29" s="21" t="s">
        <v>1085</v>
      </c>
      <c r="E29" s="20" t="s">
        <v>41</v>
      </c>
      <c r="F29" s="20"/>
      <c r="G29" s="21"/>
      <c r="H29" s="22" t="s">
        <v>1086</v>
      </c>
      <c r="I29" s="22"/>
    </row>
    <row r="31" spans="1:9">
      <c r="C31" s="14" t="s">
        <v>1090</v>
      </c>
    </row>
    <row r="32" spans="1:9">
      <c r="C32" s="14">
        <v>63745</v>
      </c>
    </row>
    <row r="33" spans="3:3">
      <c r="C33" s="14" t="s">
        <v>1091</v>
      </c>
    </row>
  </sheetData>
  <phoneticPr fontId="1" type="noConversion"/>
  <dataValidations count="1">
    <dataValidation type="list" allowBlank="1" showInputMessage="1" showErrorMessage="1" sqref="E6:E29" xr:uid="{FB94B102-64F3-49A0-A5E3-73CFD72905B1}">
      <formula1>"電訪,面訪,郵件"</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C73A-F28B-459B-BF0A-A0D2BA9A8275}">
  <dimension ref="A1:P19"/>
  <sheetViews>
    <sheetView workbookViewId="0">
      <selection activeCell="E11" sqref="E11"/>
    </sheetView>
  </sheetViews>
  <sheetFormatPr defaultRowHeight="15.75"/>
  <cols>
    <col min="1" max="1" width="14.28515625" customWidth="1"/>
    <col min="2" max="2" width="16.5703125" bestFit="1" customWidth="1"/>
    <col min="3" max="3" width="11.5703125" customWidth="1"/>
    <col min="4" max="4" width="37" bestFit="1" customWidth="1"/>
    <col min="5" max="5" width="19.140625" bestFit="1" customWidth="1"/>
    <col min="6" max="6" width="10" customWidth="1"/>
    <col min="7" max="7" width="9.42578125" customWidth="1"/>
    <col min="8" max="8" width="9.5703125" bestFit="1" customWidth="1"/>
    <col min="9" max="9" width="15.5703125" customWidth="1"/>
    <col min="10" max="10" width="8.5703125" customWidth="1"/>
    <col min="11" max="11" width="14.7109375" customWidth="1"/>
    <col min="12" max="12" width="8.5703125" customWidth="1"/>
    <col min="13" max="13" width="10.140625" customWidth="1"/>
    <col min="15" max="15" width="30" customWidth="1"/>
    <col min="16" max="16" width="12.85546875" customWidth="1"/>
  </cols>
  <sheetData>
    <row r="1" spans="1:16">
      <c r="A1" s="55" t="s">
        <v>1113</v>
      </c>
      <c r="B1" s="55" t="s">
        <v>1114</v>
      </c>
      <c r="C1" s="55" t="s">
        <v>1115</v>
      </c>
      <c r="D1" s="55" t="s">
        <v>1116</v>
      </c>
      <c r="E1" s="55" t="s">
        <v>1117</v>
      </c>
      <c r="F1" s="55" t="s">
        <v>1118</v>
      </c>
      <c r="G1" s="55" t="s">
        <v>1119</v>
      </c>
      <c r="H1" s="55" t="s">
        <v>1120</v>
      </c>
      <c r="I1" s="55" t="s">
        <v>1121</v>
      </c>
      <c r="J1" s="55" t="s">
        <v>1122</v>
      </c>
      <c r="K1" s="55" t="s">
        <v>1123</v>
      </c>
      <c r="L1" s="55" t="s">
        <v>1124</v>
      </c>
      <c r="M1" s="55" t="s">
        <v>1125</v>
      </c>
      <c r="N1" s="56" t="s">
        <v>1126</v>
      </c>
      <c r="O1" s="55" t="s">
        <v>12</v>
      </c>
    </row>
    <row r="2" spans="1:16">
      <c r="A2" s="41" t="s">
        <v>1129</v>
      </c>
      <c r="B2" s="41" t="s">
        <v>1131</v>
      </c>
      <c r="C2" s="41" t="s">
        <v>1127</v>
      </c>
      <c r="D2" s="41" t="s">
        <v>1088</v>
      </c>
      <c r="E2" s="41" t="s">
        <v>1132</v>
      </c>
      <c r="F2" s="57">
        <v>16.55</v>
      </c>
      <c r="G2" s="58">
        <v>120</v>
      </c>
      <c r="H2" s="59">
        <v>31.39</v>
      </c>
      <c r="I2" s="60">
        <v>1986</v>
      </c>
      <c r="J2" s="58">
        <v>120</v>
      </c>
      <c r="K2" s="60">
        <v>62341</v>
      </c>
      <c r="L2" s="58">
        <v>0</v>
      </c>
      <c r="M2" s="41" t="s">
        <v>1128</v>
      </c>
      <c r="N2" s="61">
        <v>46082</v>
      </c>
      <c r="O2" t="s">
        <v>1133</v>
      </c>
      <c r="P2" t="s">
        <v>1179</v>
      </c>
    </row>
    <row r="3" spans="1:16">
      <c r="A3" s="41" t="s">
        <v>1129</v>
      </c>
      <c r="B3" s="41" t="s">
        <v>1131</v>
      </c>
      <c r="C3" s="41" t="s">
        <v>1127</v>
      </c>
      <c r="D3" s="41" t="s">
        <v>1088</v>
      </c>
      <c r="E3" s="41" t="s">
        <v>1134</v>
      </c>
      <c r="F3" s="57">
        <v>14.95</v>
      </c>
      <c r="G3" s="58">
        <v>400</v>
      </c>
      <c r="H3" s="59">
        <v>31.39</v>
      </c>
      <c r="I3" s="60">
        <v>5980</v>
      </c>
      <c r="J3" s="58">
        <v>400</v>
      </c>
      <c r="K3" s="60">
        <v>187712</v>
      </c>
      <c r="L3" s="58">
        <v>0</v>
      </c>
      <c r="M3" s="41" t="s">
        <v>1128</v>
      </c>
      <c r="N3" s="61">
        <v>46082</v>
      </c>
      <c r="O3" t="s">
        <v>1133</v>
      </c>
      <c r="P3" t="s">
        <v>1179</v>
      </c>
    </row>
    <row r="4" spans="1:16">
      <c r="A4" s="41" t="s">
        <v>1135</v>
      </c>
      <c r="B4" s="41" t="s">
        <v>1136</v>
      </c>
      <c r="C4" s="41" t="s">
        <v>1137</v>
      </c>
      <c r="D4" s="41" t="s">
        <v>1138</v>
      </c>
      <c r="E4" s="41" t="s">
        <v>1139</v>
      </c>
      <c r="F4" s="57">
        <v>5.62</v>
      </c>
      <c r="G4" s="58">
        <v>90</v>
      </c>
      <c r="H4" s="59">
        <v>31.19</v>
      </c>
      <c r="I4" s="57">
        <v>505.8</v>
      </c>
      <c r="J4" s="58">
        <v>90</v>
      </c>
      <c r="K4" s="60">
        <v>15776</v>
      </c>
      <c r="L4" s="58">
        <v>0</v>
      </c>
      <c r="M4" s="41" t="s">
        <v>1140</v>
      </c>
      <c r="N4" s="61">
        <v>46082</v>
      </c>
      <c r="O4" t="s">
        <v>1201</v>
      </c>
    </row>
    <row r="5" spans="1:16">
      <c r="A5" s="41" t="s">
        <v>1135</v>
      </c>
      <c r="B5" s="41" t="s">
        <v>1136</v>
      </c>
      <c r="C5" s="41" t="s">
        <v>1137</v>
      </c>
      <c r="D5" s="41" t="s">
        <v>1138</v>
      </c>
      <c r="E5" s="41" t="s">
        <v>1141</v>
      </c>
      <c r="F5" s="57">
        <v>18.5</v>
      </c>
      <c r="G5" s="58">
        <v>60</v>
      </c>
      <c r="H5" s="59">
        <v>31.19</v>
      </c>
      <c r="I5" s="60">
        <v>1110</v>
      </c>
      <c r="J5" s="58">
        <v>60</v>
      </c>
      <c r="K5" s="60">
        <v>34621</v>
      </c>
      <c r="L5" s="58">
        <v>0</v>
      </c>
      <c r="M5" s="41" t="s">
        <v>1140</v>
      </c>
      <c r="N5" s="61">
        <v>46082</v>
      </c>
      <c r="O5" t="s">
        <v>1201</v>
      </c>
    </row>
    <row r="6" spans="1:16">
      <c r="A6" s="41" t="s">
        <v>1135</v>
      </c>
      <c r="B6" s="41" t="s">
        <v>1136</v>
      </c>
      <c r="C6" s="41" t="s">
        <v>1137</v>
      </c>
      <c r="D6" s="41" t="s">
        <v>1138</v>
      </c>
      <c r="E6" s="41" t="s">
        <v>1142</v>
      </c>
      <c r="F6" s="57">
        <v>37.85</v>
      </c>
      <c r="G6" s="58">
        <v>24</v>
      </c>
      <c r="H6" s="59">
        <v>31.19</v>
      </c>
      <c r="I6" s="57">
        <v>908.4</v>
      </c>
      <c r="J6" s="58">
        <v>24</v>
      </c>
      <c r="K6" s="60">
        <v>28333</v>
      </c>
      <c r="L6" s="58">
        <v>0</v>
      </c>
      <c r="M6" s="41" t="s">
        <v>1140</v>
      </c>
      <c r="N6" s="61">
        <v>46082</v>
      </c>
      <c r="O6" t="s">
        <v>1201</v>
      </c>
    </row>
    <row r="7" spans="1:16">
      <c r="A7" s="41" t="s">
        <v>1135</v>
      </c>
      <c r="B7" s="41" t="s">
        <v>1136</v>
      </c>
      <c r="C7" s="41" t="s">
        <v>1143</v>
      </c>
      <c r="D7" s="41" t="s">
        <v>1138</v>
      </c>
      <c r="E7" s="41" t="s">
        <v>1144</v>
      </c>
      <c r="F7" s="57">
        <v>4.75</v>
      </c>
      <c r="G7" s="58">
        <v>90</v>
      </c>
      <c r="H7" s="59">
        <v>31.19</v>
      </c>
      <c r="I7" s="57">
        <v>427.5</v>
      </c>
      <c r="J7" s="58">
        <v>90</v>
      </c>
      <c r="K7" s="60">
        <v>13334</v>
      </c>
      <c r="L7" s="58">
        <v>0</v>
      </c>
      <c r="M7" s="41" t="s">
        <v>1140</v>
      </c>
      <c r="N7" s="61">
        <v>46082</v>
      </c>
      <c r="O7" t="s">
        <v>1201</v>
      </c>
    </row>
    <row r="8" spans="1:16">
      <c r="A8" s="41" t="s">
        <v>1135</v>
      </c>
      <c r="B8" s="41" t="s">
        <v>1136</v>
      </c>
      <c r="C8" s="41" t="s">
        <v>1137</v>
      </c>
      <c r="D8" s="41" t="s">
        <v>1138</v>
      </c>
      <c r="E8" s="41" t="s">
        <v>1145</v>
      </c>
      <c r="F8" s="57">
        <v>81</v>
      </c>
      <c r="G8" s="58">
        <v>24</v>
      </c>
      <c r="H8" s="59">
        <v>31.19</v>
      </c>
      <c r="I8" s="60">
        <v>1944</v>
      </c>
      <c r="J8" s="58">
        <v>24</v>
      </c>
      <c r="K8" s="60">
        <v>60633</v>
      </c>
      <c r="L8" s="58">
        <v>0</v>
      </c>
      <c r="M8" s="41" t="s">
        <v>1140</v>
      </c>
      <c r="N8" s="61">
        <v>46082</v>
      </c>
      <c r="O8" t="s">
        <v>1201</v>
      </c>
    </row>
    <row r="9" spans="1:16">
      <c r="A9" s="41" t="s">
        <v>1135</v>
      </c>
      <c r="B9" s="41" t="s">
        <v>1136</v>
      </c>
      <c r="C9" s="41" t="s">
        <v>1137</v>
      </c>
      <c r="D9" s="41" t="s">
        <v>1138</v>
      </c>
      <c r="E9" s="41" t="s">
        <v>1146</v>
      </c>
      <c r="F9" s="57">
        <v>5.3</v>
      </c>
      <c r="G9" s="58">
        <v>75</v>
      </c>
      <c r="H9" s="59">
        <v>31.19</v>
      </c>
      <c r="I9" s="57">
        <v>397.5</v>
      </c>
      <c r="J9" s="58">
        <v>75</v>
      </c>
      <c r="K9" s="60">
        <v>12398</v>
      </c>
      <c r="L9" s="58">
        <v>0</v>
      </c>
      <c r="M9" s="41" t="s">
        <v>1140</v>
      </c>
      <c r="N9" s="61">
        <v>46082</v>
      </c>
      <c r="O9" t="s">
        <v>1201</v>
      </c>
    </row>
    <row r="10" spans="1:16">
      <c r="A10" s="41" t="s">
        <v>1147</v>
      </c>
      <c r="B10" s="41" t="s">
        <v>1148</v>
      </c>
      <c r="C10" s="41" t="s">
        <v>1137</v>
      </c>
      <c r="D10" s="41" t="s">
        <v>1149</v>
      </c>
      <c r="E10" s="41" t="s">
        <v>1150</v>
      </c>
      <c r="F10" s="57">
        <v>19.89</v>
      </c>
      <c r="G10" s="58">
        <v>100</v>
      </c>
      <c r="H10" s="59">
        <v>31.33</v>
      </c>
      <c r="I10" s="60">
        <f>G10*F10</f>
        <v>1989</v>
      </c>
      <c r="J10" s="58">
        <v>100</v>
      </c>
      <c r="K10" s="63">
        <f>F10*H10*J10</f>
        <v>62315.369999999995</v>
      </c>
      <c r="L10" s="58">
        <v>0</v>
      </c>
      <c r="M10" s="41" t="s">
        <v>1147</v>
      </c>
      <c r="N10" s="61">
        <v>46082</v>
      </c>
      <c r="O10" s="64"/>
      <c r="P10" t="s">
        <v>1179</v>
      </c>
    </row>
    <row r="11" spans="1:16">
      <c r="A11" s="41" t="s">
        <v>1152</v>
      </c>
      <c r="B11" s="41" t="s">
        <v>1153</v>
      </c>
      <c r="C11" s="41" t="s">
        <v>1137</v>
      </c>
      <c r="D11" s="41" t="s">
        <v>1154</v>
      </c>
      <c r="E11" s="41" t="s">
        <v>1132</v>
      </c>
      <c r="F11" s="57">
        <v>12.98</v>
      </c>
      <c r="G11" s="62">
        <v>500</v>
      </c>
      <c r="H11" s="59">
        <v>31.49</v>
      </c>
      <c r="I11" s="60">
        <f>F11*G11</f>
        <v>6490</v>
      </c>
      <c r="J11" s="62">
        <v>500</v>
      </c>
      <c r="K11" s="60">
        <f>J11*F11*H11</f>
        <v>204370.09999999998</v>
      </c>
      <c r="L11" s="58">
        <v>0</v>
      </c>
      <c r="M11" s="41" t="s">
        <v>1155</v>
      </c>
      <c r="N11" s="61">
        <v>46082</v>
      </c>
      <c r="O11" t="s">
        <v>1156</v>
      </c>
      <c r="P11" t="s">
        <v>1179</v>
      </c>
    </row>
    <row r="12" spans="1:16">
      <c r="A12" s="41" t="s">
        <v>1157</v>
      </c>
      <c r="B12" s="41" t="s">
        <v>1158</v>
      </c>
      <c r="C12" s="41" t="s">
        <v>1127</v>
      </c>
      <c r="D12" s="41" t="s">
        <v>1088</v>
      </c>
      <c r="E12" s="41" t="s">
        <v>1087</v>
      </c>
      <c r="F12" s="57">
        <v>13.45</v>
      </c>
      <c r="G12" s="58">
        <v>160</v>
      </c>
      <c r="H12" s="59">
        <v>31.524999999999999</v>
      </c>
      <c r="I12" s="60">
        <v>2152</v>
      </c>
      <c r="J12" s="58">
        <v>160</v>
      </c>
      <c r="K12" s="60">
        <v>67842</v>
      </c>
      <c r="L12" s="58">
        <v>0</v>
      </c>
      <c r="M12" s="41" t="s">
        <v>1159</v>
      </c>
      <c r="N12" s="61">
        <v>46082</v>
      </c>
      <c r="P12" t="s">
        <v>1179</v>
      </c>
    </row>
    <row r="13" spans="1:16">
      <c r="A13" s="41" t="s">
        <v>1160</v>
      </c>
      <c r="B13" s="41" t="s">
        <v>1161</v>
      </c>
      <c r="C13" s="41" t="s">
        <v>1127</v>
      </c>
      <c r="D13" s="41" t="s">
        <v>1162</v>
      </c>
      <c r="E13" s="41" t="s">
        <v>1163</v>
      </c>
      <c r="F13" s="57">
        <v>12.54</v>
      </c>
      <c r="G13" s="62">
        <v>1000</v>
      </c>
      <c r="H13" s="59">
        <v>31.524999999999999</v>
      </c>
      <c r="I13" s="60">
        <f>G13*F13</f>
        <v>12540</v>
      </c>
      <c r="J13" s="62">
        <v>1000</v>
      </c>
      <c r="K13" s="60">
        <f>J13*F13*H13</f>
        <v>395323.5</v>
      </c>
      <c r="L13" s="58">
        <v>0</v>
      </c>
      <c r="M13" s="41" t="s">
        <v>1164</v>
      </c>
      <c r="N13" s="61">
        <v>46082</v>
      </c>
      <c r="P13" t="s">
        <v>1200</v>
      </c>
    </row>
    <row r="14" spans="1:16">
      <c r="A14" s="41" t="s">
        <v>1160</v>
      </c>
      <c r="B14" s="41" t="s">
        <v>1161</v>
      </c>
      <c r="C14" s="41" t="s">
        <v>1127</v>
      </c>
      <c r="D14" s="41" t="s">
        <v>1162</v>
      </c>
      <c r="E14" s="41" t="s">
        <v>1112</v>
      </c>
      <c r="F14" s="57">
        <v>17.68</v>
      </c>
      <c r="G14" s="62">
        <v>100</v>
      </c>
      <c r="H14" s="59">
        <v>31.524999999999999</v>
      </c>
      <c r="I14" s="60">
        <f>G14*F14</f>
        <v>1768</v>
      </c>
      <c r="J14" s="62">
        <v>100</v>
      </c>
      <c r="K14" s="60">
        <f>J14*F14*H14</f>
        <v>55736.2</v>
      </c>
      <c r="L14" s="58">
        <v>0</v>
      </c>
      <c r="M14" s="41" t="s">
        <v>1164</v>
      </c>
      <c r="N14" s="61">
        <v>46082</v>
      </c>
      <c r="P14" t="s">
        <v>1200</v>
      </c>
    </row>
    <row r="15" spans="1:16">
      <c r="A15" s="65" t="s">
        <v>1166</v>
      </c>
      <c r="B15" s="65" t="s">
        <v>1167</v>
      </c>
      <c r="C15" s="65" t="s">
        <v>1137</v>
      </c>
      <c r="D15" s="65" t="s">
        <v>1168</v>
      </c>
      <c r="E15" s="65" t="s">
        <v>1165</v>
      </c>
      <c r="F15" s="66">
        <v>28.75</v>
      </c>
      <c r="G15" s="67">
        <v>250</v>
      </c>
      <c r="H15" s="68">
        <v>31.524999999999999</v>
      </c>
      <c r="I15" s="69">
        <v>7187.5</v>
      </c>
      <c r="J15" s="67">
        <v>250</v>
      </c>
      <c r="K15" s="69">
        <v>226586</v>
      </c>
      <c r="L15" s="67">
        <v>0</v>
      </c>
      <c r="M15" s="65" t="s">
        <v>1130</v>
      </c>
      <c r="N15" s="70">
        <v>46082</v>
      </c>
      <c r="O15" s="71" t="s">
        <v>1169</v>
      </c>
    </row>
    <row r="16" spans="1:16">
      <c r="A16" s="65" t="s">
        <v>1166</v>
      </c>
      <c r="B16" s="65" t="s">
        <v>1167</v>
      </c>
      <c r="C16" s="65" t="s">
        <v>1137</v>
      </c>
      <c r="D16" s="65" t="s">
        <v>1168</v>
      </c>
      <c r="E16" s="65" t="s">
        <v>1165</v>
      </c>
      <c r="F16" s="66">
        <v>28.75</v>
      </c>
      <c r="G16" s="67">
        <v>250</v>
      </c>
      <c r="H16" s="68">
        <v>31.524999999999999</v>
      </c>
      <c r="I16" s="69">
        <v>7187.5</v>
      </c>
      <c r="J16" s="67">
        <v>250</v>
      </c>
      <c r="K16" s="69">
        <v>226586</v>
      </c>
      <c r="L16" s="67">
        <v>0</v>
      </c>
      <c r="M16" s="65" t="s">
        <v>1130</v>
      </c>
      <c r="N16" s="70">
        <v>46082</v>
      </c>
      <c r="O16" s="71" t="s">
        <v>1169</v>
      </c>
    </row>
    <row r="17" spans="1:16">
      <c r="A17" s="41" t="s">
        <v>1170</v>
      </c>
      <c r="B17" s="41" t="s">
        <v>1151</v>
      </c>
      <c r="C17" s="41" t="s">
        <v>1127</v>
      </c>
      <c r="D17" s="41" t="s">
        <v>1171</v>
      </c>
      <c r="E17" s="41" t="s">
        <v>1172</v>
      </c>
      <c r="F17" s="57">
        <v>1.22</v>
      </c>
      <c r="G17" s="58">
        <v>500</v>
      </c>
      <c r="H17" s="59">
        <v>31.5</v>
      </c>
      <c r="I17" s="57">
        <v>610</v>
      </c>
      <c r="J17" s="58">
        <v>500</v>
      </c>
      <c r="K17" s="60">
        <v>19215</v>
      </c>
      <c r="L17" s="58">
        <v>0</v>
      </c>
      <c r="M17" s="41" t="s">
        <v>1170</v>
      </c>
      <c r="N17" s="61">
        <v>46082</v>
      </c>
      <c r="P17" t="s">
        <v>1179</v>
      </c>
    </row>
    <row r="18" spans="1:16">
      <c r="A18" s="41" t="s">
        <v>1170</v>
      </c>
      <c r="B18" s="41" t="s">
        <v>1151</v>
      </c>
      <c r="C18" s="41" t="s">
        <v>1127</v>
      </c>
      <c r="D18" s="41" t="s">
        <v>1171</v>
      </c>
      <c r="E18" s="41" t="s">
        <v>1173</v>
      </c>
      <c r="F18" s="57">
        <v>8.67</v>
      </c>
      <c r="G18" s="58">
        <v>300</v>
      </c>
      <c r="H18" s="59">
        <v>31.5</v>
      </c>
      <c r="I18" s="60">
        <v>2601</v>
      </c>
      <c r="J18" s="58">
        <v>300</v>
      </c>
      <c r="K18" s="60">
        <v>81932</v>
      </c>
      <c r="L18" s="58">
        <v>0</v>
      </c>
      <c r="M18" s="41" t="s">
        <v>1170</v>
      </c>
      <c r="N18" s="61">
        <v>46082</v>
      </c>
      <c r="P18" t="s">
        <v>1179</v>
      </c>
    </row>
    <row r="19" spans="1:16">
      <c r="A19" s="41" t="s">
        <v>1170</v>
      </c>
      <c r="B19" s="41" t="s">
        <v>1174</v>
      </c>
      <c r="C19" s="41" t="s">
        <v>1127</v>
      </c>
      <c r="D19" s="41" t="s">
        <v>1175</v>
      </c>
      <c r="E19" s="41" t="s">
        <v>1176</v>
      </c>
      <c r="F19" s="57">
        <v>18.86</v>
      </c>
      <c r="G19" s="58">
        <v>25</v>
      </c>
      <c r="H19" s="59">
        <v>36.840000000000003</v>
      </c>
      <c r="I19" s="57">
        <v>471.5</v>
      </c>
      <c r="J19" s="58">
        <v>25</v>
      </c>
      <c r="K19" s="60">
        <v>17370</v>
      </c>
      <c r="L19" s="58">
        <v>0</v>
      </c>
      <c r="M19" s="41" t="s">
        <v>1159</v>
      </c>
      <c r="N19" s="61">
        <v>46082</v>
      </c>
      <c r="O19" s="72" t="s">
        <v>1177</v>
      </c>
    </row>
  </sheetData>
  <autoFilter ref="A1:P19" xr:uid="{4123C73A-F28B-459B-BF0A-A0D2BA9A8275}"/>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ECAA2-DEA3-476D-A147-4476E8CD9BDB}">
  <dimension ref="A1"/>
  <sheetViews>
    <sheetView workbookViewId="0">
      <selection activeCell="F19" sqref="F19"/>
    </sheetView>
  </sheetViews>
  <sheetFormatPr defaultRowHeight="15.7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8576-CF24-423B-9373-38938AB304D0}">
  <dimension ref="B2:H4"/>
  <sheetViews>
    <sheetView workbookViewId="0">
      <selection activeCell="B6" sqref="B6"/>
    </sheetView>
  </sheetViews>
  <sheetFormatPr defaultRowHeight="15.75"/>
  <cols>
    <col min="2" max="2" width="43.28515625" customWidth="1"/>
    <col min="3" max="3" width="12.5703125" customWidth="1"/>
    <col min="4" max="4" width="41" customWidth="1"/>
    <col min="5" max="5" width="32.42578125" customWidth="1"/>
    <col min="6" max="6" width="41" customWidth="1"/>
    <col min="7" max="8" width="28" customWidth="1"/>
  </cols>
  <sheetData>
    <row r="2" spans="2:8" ht="16.5" thickBot="1"/>
    <row r="3" spans="2:8" ht="16.5" thickBot="1">
      <c r="B3" s="47" t="s">
        <v>1099</v>
      </c>
      <c r="C3" s="48"/>
      <c r="D3" s="49" t="s">
        <v>1100</v>
      </c>
      <c r="E3" s="47" t="s">
        <v>1101</v>
      </c>
      <c r="F3" s="48" t="s">
        <v>1102</v>
      </c>
      <c r="G3" s="48" t="s">
        <v>1103</v>
      </c>
      <c r="H3" s="49" t="s">
        <v>1104</v>
      </c>
    </row>
    <row r="4" spans="2:8" ht="174" thickBot="1">
      <c r="B4" s="50" t="s">
        <v>1105</v>
      </c>
      <c r="C4" s="51" t="s">
        <v>1106</v>
      </c>
      <c r="D4" s="52" t="s">
        <v>1107</v>
      </c>
      <c r="E4" s="50" t="s">
        <v>1108</v>
      </c>
      <c r="F4" s="53" t="s">
        <v>1109</v>
      </c>
      <c r="G4" s="53" t="s">
        <v>1110</v>
      </c>
      <c r="H4" s="54" t="s">
        <v>1111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78FEA-8AFA-4B73-A130-E8783CF35F2D}">
  <dimension ref="A3:F11"/>
  <sheetViews>
    <sheetView workbookViewId="0">
      <selection activeCell="C21" sqref="C21"/>
    </sheetView>
  </sheetViews>
  <sheetFormatPr defaultRowHeight="15.75"/>
  <cols>
    <col min="1" max="1" width="46.42578125" customWidth="1"/>
    <col min="2" max="6" width="32.7109375" customWidth="1"/>
  </cols>
  <sheetData>
    <row r="3" spans="1:6" ht="16.5" thickBot="1"/>
    <row r="4" spans="1:6" ht="17.25" thickBot="1">
      <c r="A4" s="73" t="s">
        <v>1092</v>
      </c>
      <c r="B4" s="74" t="s">
        <v>1180</v>
      </c>
      <c r="C4" s="75" t="s">
        <v>1181</v>
      </c>
      <c r="D4" s="75" t="s">
        <v>1182</v>
      </c>
      <c r="E4" s="75" t="s">
        <v>1183</v>
      </c>
      <c r="F4" s="76" t="s">
        <v>1184</v>
      </c>
    </row>
    <row r="5" spans="1:6">
      <c r="A5" s="77" t="s">
        <v>1093</v>
      </c>
      <c r="B5" s="78" t="s">
        <v>1185</v>
      </c>
      <c r="C5" s="79"/>
      <c r="D5" s="79"/>
      <c r="E5" s="79"/>
      <c r="F5" s="80"/>
    </row>
    <row r="6" spans="1:6">
      <c r="A6" s="81" t="s">
        <v>1094</v>
      </c>
      <c r="B6" s="82"/>
      <c r="C6" s="83" t="s">
        <v>1186</v>
      </c>
      <c r="D6" s="83" t="s">
        <v>1187</v>
      </c>
      <c r="E6" s="83" t="s">
        <v>1188</v>
      </c>
      <c r="F6" s="84" t="s">
        <v>1189</v>
      </c>
    </row>
    <row r="7" spans="1:6" ht="31.5">
      <c r="A7" s="85" t="s">
        <v>1095</v>
      </c>
      <c r="B7" s="86"/>
      <c r="C7" s="87" t="s">
        <v>1190</v>
      </c>
      <c r="D7" s="87" t="s">
        <v>1191</v>
      </c>
      <c r="E7" s="87" t="s">
        <v>1192</v>
      </c>
      <c r="F7" s="88" t="s">
        <v>1193</v>
      </c>
    </row>
    <row r="8" spans="1:6">
      <c r="A8" s="81" t="s">
        <v>1096</v>
      </c>
      <c r="B8" s="82"/>
      <c r="C8" s="83" t="s">
        <v>1194</v>
      </c>
      <c r="D8" s="83"/>
      <c r="E8" s="83"/>
      <c r="F8" s="84"/>
    </row>
    <row r="9" spans="1:6" ht="31.5">
      <c r="A9" s="85" t="s">
        <v>1097</v>
      </c>
      <c r="B9" s="86"/>
      <c r="C9" s="87" t="s">
        <v>1195</v>
      </c>
      <c r="D9" s="87" t="s">
        <v>1196</v>
      </c>
      <c r="E9" s="87"/>
      <c r="F9" s="88"/>
    </row>
    <row r="10" spans="1:6">
      <c r="A10" s="81" t="s">
        <v>1098</v>
      </c>
      <c r="B10" s="82" t="s">
        <v>1197</v>
      </c>
      <c r="C10" s="83"/>
      <c r="D10" s="83"/>
      <c r="E10" s="83"/>
      <c r="F10" s="84"/>
    </row>
    <row r="11" spans="1:6" ht="32.25" thickBot="1">
      <c r="A11" s="89" t="s">
        <v>1178</v>
      </c>
      <c r="B11" s="90" t="s">
        <v>1198</v>
      </c>
      <c r="C11" s="91"/>
      <c r="D11" s="91"/>
      <c r="E11" s="91" t="s">
        <v>1199</v>
      </c>
      <c r="F11" s="92"/>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55AD-3828-4720-AE05-1CE543180CF9}">
  <dimension ref="A1:H907"/>
  <sheetViews>
    <sheetView topLeftCell="A857" zoomScale="85" zoomScaleNormal="85" workbookViewId="0">
      <selection activeCell="A902" sqref="A902"/>
    </sheetView>
  </sheetViews>
  <sheetFormatPr defaultColWidth="9.140625" defaultRowHeight="15.75"/>
  <cols>
    <col min="1" max="1" width="22.140625" style="14" customWidth="1"/>
    <col min="2" max="3" width="20.7109375" style="14" customWidth="1"/>
    <col min="4" max="4" width="26.28515625" style="14" customWidth="1"/>
    <col min="5" max="5" width="11.7109375" style="14" customWidth="1"/>
    <col min="6" max="6" width="29.7109375" style="14" customWidth="1"/>
    <col min="7" max="7" width="84.42578125" style="14" customWidth="1"/>
    <col min="8" max="8" width="44" style="14" customWidth="1"/>
    <col min="9" max="16384" width="9.140625" style="14"/>
  </cols>
  <sheetData>
    <row r="1" spans="1:8">
      <c r="A1" s="14" t="s">
        <v>10</v>
      </c>
    </row>
    <row r="2" spans="1:8" hidden="1">
      <c r="A2" s="3" t="s">
        <v>58</v>
      </c>
      <c r="B2" s="4" t="s">
        <v>67</v>
      </c>
      <c r="C2" s="4" t="s">
        <v>3</v>
      </c>
      <c r="D2" s="4" t="s">
        <v>57</v>
      </c>
      <c r="E2" s="4" t="s">
        <v>59</v>
      </c>
      <c r="F2" s="4" t="s">
        <v>61</v>
      </c>
      <c r="G2" s="4" t="s">
        <v>60</v>
      </c>
      <c r="H2" s="5" t="s">
        <v>66</v>
      </c>
    </row>
    <row r="3" spans="1:8" ht="31.5" hidden="1">
      <c r="A3" s="28">
        <v>45873</v>
      </c>
      <c r="B3" s="16" t="s">
        <v>75</v>
      </c>
      <c r="C3" s="16" t="s">
        <v>14</v>
      </c>
      <c r="D3" s="16" t="s">
        <v>78</v>
      </c>
      <c r="E3" s="16" t="s">
        <v>40</v>
      </c>
      <c r="F3" s="16" t="s">
        <v>71</v>
      </c>
      <c r="G3" s="17" t="s">
        <v>79</v>
      </c>
      <c r="H3" s="29"/>
    </row>
    <row r="4" spans="1:8" ht="31.5" hidden="1">
      <c r="A4" s="28">
        <v>45874</v>
      </c>
      <c r="B4" s="16" t="s">
        <v>75</v>
      </c>
      <c r="C4" s="16" t="s">
        <v>56</v>
      </c>
      <c r="D4" s="16" t="s">
        <v>84</v>
      </c>
      <c r="E4" s="16" t="s">
        <v>40</v>
      </c>
      <c r="F4" s="16" t="s">
        <v>71</v>
      </c>
      <c r="G4" s="32" t="s">
        <v>80</v>
      </c>
      <c r="H4" s="29"/>
    </row>
    <row r="5" spans="1:8" ht="31.5" hidden="1">
      <c r="A5" s="28">
        <v>45874</v>
      </c>
      <c r="B5" s="16" t="s">
        <v>75</v>
      </c>
      <c r="C5" s="16" t="s">
        <v>15</v>
      </c>
      <c r="D5" s="16" t="s">
        <v>81</v>
      </c>
      <c r="E5" s="16" t="s">
        <v>40</v>
      </c>
      <c r="F5" s="16" t="s">
        <v>71</v>
      </c>
      <c r="G5" s="17" t="s">
        <v>82</v>
      </c>
      <c r="H5" s="29"/>
    </row>
    <row r="6" spans="1:8" ht="31.5" hidden="1">
      <c r="A6" s="28">
        <v>45874</v>
      </c>
      <c r="B6" s="16" t="s">
        <v>75</v>
      </c>
      <c r="C6" s="16" t="s">
        <v>15</v>
      </c>
      <c r="D6" s="16" t="s">
        <v>87</v>
      </c>
      <c r="E6" s="16" t="s">
        <v>40</v>
      </c>
      <c r="F6" s="16" t="s">
        <v>71</v>
      </c>
      <c r="G6" s="17" t="s">
        <v>88</v>
      </c>
      <c r="H6" s="29"/>
    </row>
    <row r="7" spans="1:8" hidden="1">
      <c r="A7" s="28">
        <v>45874</v>
      </c>
      <c r="B7" s="16" t="s">
        <v>75</v>
      </c>
      <c r="C7" s="16" t="s">
        <v>55</v>
      </c>
      <c r="D7" s="16" t="s">
        <v>83</v>
      </c>
      <c r="E7" s="16" t="s">
        <v>41</v>
      </c>
      <c r="F7" s="16" t="s">
        <v>71</v>
      </c>
      <c r="G7" s="17" t="s">
        <v>85</v>
      </c>
      <c r="H7" s="29"/>
    </row>
    <row r="8" spans="1:8" hidden="1">
      <c r="A8" s="28">
        <v>45876</v>
      </c>
      <c r="B8" s="16" t="s">
        <v>75</v>
      </c>
      <c r="C8" s="16" t="s">
        <v>73</v>
      </c>
      <c r="D8" s="16" t="s">
        <v>86</v>
      </c>
      <c r="E8" s="16" t="s">
        <v>41</v>
      </c>
      <c r="F8" s="16" t="s">
        <v>64</v>
      </c>
      <c r="G8" s="17" t="s">
        <v>65</v>
      </c>
      <c r="H8" s="29"/>
    </row>
    <row r="9" spans="1:8" ht="31.5" hidden="1">
      <c r="A9" s="28">
        <v>45876</v>
      </c>
      <c r="B9" s="16" t="s">
        <v>76</v>
      </c>
      <c r="C9" s="16" t="s">
        <v>15</v>
      </c>
      <c r="D9" s="16" t="s">
        <v>89</v>
      </c>
      <c r="E9" s="16" t="s">
        <v>40</v>
      </c>
      <c r="F9" s="16" t="s">
        <v>71</v>
      </c>
      <c r="G9" s="17" t="s">
        <v>90</v>
      </c>
      <c r="H9" s="29"/>
    </row>
    <row r="10" spans="1:8" hidden="1">
      <c r="A10" s="28">
        <v>45876</v>
      </c>
      <c r="B10" s="16" t="s">
        <v>75</v>
      </c>
      <c r="C10" s="16" t="s">
        <v>15</v>
      </c>
      <c r="D10" s="16" t="s">
        <v>115</v>
      </c>
      <c r="E10" s="16" t="s">
        <v>40</v>
      </c>
      <c r="F10" s="16" t="s">
        <v>71</v>
      </c>
      <c r="G10" s="17" t="s">
        <v>116</v>
      </c>
      <c r="H10" s="29"/>
    </row>
    <row r="11" spans="1:8" hidden="1">
      <c r="A11" s="28">
        <v>45877</v>
      </c>
      <c r="B11" s="16" t="s">
        <v>91</v>
      </c>
      <c r="C11" s="16" t="s">
        <v>92</v>
      </c>
      <c r="D11" s="16" t="s">
        <v>93</v>
      </c>
      <c r="E11" s="16" t="s">
        <v>41</v>
      </c>
      <c r="F11" s="16" t="s">
        <v>77</v>
      </c>
      <c r="G11" s="17" t="s">
        <v>94</v>
      </c>
      <c r="H11" s="29"/>
    </row>
    <row r="12" spans="1:8" ht="31.5" hidden="1">
      <c r="A12" s="28">
        <v>45877</v>
      </c>
      <c r="B12" s="16" t="s">
        <v>91</v>
      </c>
      <c r="C12" s="16" t="s">
        <v>95</v>
      </c>
      <c r="D12" s="16" t="s">
        <v>96</v>
      </c>
      <c r="E12" s="16" t="s">
        <v>41</v>
      </c>
      <c r="F12" s="16" t="s">
        <v>69</v>
      </c>
      <c r="G12" s="17" t="s">
        <v>97</v>
      </c>
      <c r="H12" s="29"/>
    </row>
    <row r="13" spans="1:8" hidden="1">
      <c r="A13" s="28">
        <v>45877</v>
      </c>
      <c r="B13" s="16" t="s">
        <v>75</v>
      </c>
      <c r="C13" s="16" t="s">
        <v>15</v>
      </c>
      <c r="D13" s="16" t="s">
        <v>98</v>
      </c>
      <c r="E13" s="16" t="s">
        <v>41</v>
      </c>
      <c r="F13" s="16" t="s">
        <v>71</v>
      </c>
      <c r="G13" s="17" t="s">
        <v>99</v>
      </c>
      <c r="H13" s="29"/>
    </row>
    <row r="14" spans="1:8" ht="31.5" hidden="1">
      <c r="A14" s="28">
        <v>45877</v>
      </c>
      <c r="B14" s="16" t="s">
        <v>91</v>
      </c>
      <c r="C14" s="16" t="s">
        <v>100</v>
      </c>
      <c r="D14" s="16" t="s">
        <v>101</v>
      </c>
      <c r="E14" s="16" t="s">
        <v>41</v>
      </c>
      <c r="F14" s="16" t="s">
        <v>77</v>
      </c>
      <c r="G14" s="17" t="s">
        <v>102</v>
      </c>
      <c r="H14" s="29"/>
    </row>
    <row r="15" spans="1:8" hidden="1">
      <c r="A15" s="28">
        <v>45877</v>
      </c>
      <c r="B15" s="16" t="s">
        <v>91</v>
      </c>
      <c r="C15" s="16" t="s">
        <v>103</v>
      </c>
      <c r="D15" s="16" t="s">
        <v>84</v>
      </c>
      <c r="E15" s="16" t="s">
        <v>41</v>
      </c>
      <c r="F15" s="16" t="s">
        <v>77</v>
      </c>
      <c r="G15" s="17" t="s">
        <v>112</v>
      </c>
      <c r="H15" s="29"/>
    </row>
    <row r="16" spans="1:8" ht="31.5" hidden="1">
      <c r="A16" s="28">
        <v>45877</v>
      </c>
      <c r="B16" s="16" t="s">
        <v>91</v>
      </c>
      <c r="C16" s="16" t="s">
        <v>74</v>
      </c>
      <c r="D16" s="16" t="s">
        <v>104</v>
      </c>
      <c r="E16" s="16" t="s">
        <v>41</v>
      </c>
      <c r="F16" s="16" t="s">
        <v>71</v>
      </c>
      <c r="G16" s="17" t="s">
        <v>105</v>
      </c>
      <c r="H16" s="29"/>
    </row>
    <row r="17" spans="1:8" hidden="1">
      <c r="A17" s="28">
        <v>45877</v>
      </c>
      <c r="B17" s="16" t="s">
        <v>75</v>
      </c>
      <c r="C17" s="16" t="s">
        <v>56</v>
      </c>
      <c r="D17" s="16" t="s">
        <v>106</v>
      </c>
      <c r="E17" s="16" t="s">
        <v>63</v>
      </c>
      <c r="F17" s="16" t="s">
        <v>64</v>
      </c>
      <c r="G17" s="17" t="s">
        <v>107</v>
      </c>
      <c r="H17" s="29"/>
    </row>
    <row r="18" spans="1:8" ht="56.45" hidden="1" customHeight="1">
      <c r="A18" s="28">
        <v>45877</v>
      </c>
      <c r="B18" s="16" t="s">
        <v>75</v>
      </c>
      <c r="C18" s="16" t="s">
        <v>14</v>
      </c>
      <c r="D18" s="16" t="s">
        <v>110</v>
      </c>
      <c r="E18" s="16" t="s">
        <v>41</v>
      </c>
      <c r="F18" s="16" t="s">
        <v>71</v>
      </c>
      <c r="G18" s="17" t="s">
        <v>117</v>
      </c>
      <c r="H18" s="29"/>
    </row>
    <row r="19" spans="1:8" hidden="1">
      <c r="A19" s="28">
        <v>45877</v>
      </c>
      <c r="B19" s="16" t="s">
        <v>91</v>
      </c>
      <c r="C19" s="16" t="s">
        <v>111</v>
      </c>
      <c r="D19" s="16" t="s">
        <v>113</v>
      </c>
      <c r="E19" s="16" t="s">
        <v>41</v>
      </c>
      <c r="F19" s="16" t="s">
        <v>77</v>
      </c>
      <c r="G19" s="17" t="s">
        <v>114</v>
      </c>
      <c r="H19" s="29"/>
    </row>
    <row r="20" spans="1:8" ht="16.5" hidden="1" thickBot="1">
      <c r="A20" s="31">
        <v>45877</v>
      </c>
      <c r="B20" s="20" t="s">
        <v>75</v>
      </c>
      <c r="C20" s="20" t="s">
        <v>15</v>
      </c>
      <c r="D20" s="20" t="s">
        <v>108</v>
      </c>
      <c r="E20" s="20" t="s">
        <v>41</v>
      </c>
      <c r="F20" s="20" t="s">
        <v>64</v>
      </c>
      <c r="G20" s="21" t="s">
        <v>109</v>
      </c>
      <c r="H20" s="30"/>
    </row>
    <row r="21" spans="1:8" ht="16.5" thickBot="1"/>
    <row r="22" spans="1:8">
      <c r="A22" s="3" t="s">
        <v>70</v>
      </c>
      <c r="B22" s="4" t="s">
        <v>72</v>
      </c>
      <c r="C22" s="4" t="s">
        <v>16</v>
      </c>
      <c r="D22" s="34" t="s">
        <v>155</v>
      </c>
      <c r="E22" s="9" t="s">
        <v>156</v>
      </c>
      <c r="F22" s="10" t="s">
        <v>157</v>
      </c>
    </row>
    <row r="23" spans="1:8">
      <c r="A23" s="122" t="s">
        <v>63</v>
      </c>
      <c r="B23" s="16" t="s">
        <v>68</v>
      </c>
      <c r="C23" s="16">
        <v>5</v>
      </c>
      <c r="D23" s="16">
        <f>C23</f>
        <v>5</v>
      </c>
      <c r="E23" s="123">
        <f>D23+D25+D27</f>
        <v>6</v>
      </c>
      <c r="F23" s="124">
        <f>E23/12</f>
        <v>0.5</v>
      </c>
    </row>
    <row r="24" spans="1:8">
      <c r="A24" s="122"/>
      <c r="B24" s="125" t="s">
        <v>65</v>
      </c>
      <c r="C24" s="125">
        <v>3</v>
      </c>
      <c r="D24" s="35" t="s">
        <v>158</v>
      </c>
      <c r="E24" s="123"/>
      <c r="F24" s="124"/>
    </row>
    <row r="25" spans="1:8">
      <c r="A25" s="122"/>
      <c r="B25" s="125"/>
      <c r="C25" s="125"/>
      <c r="D25" s="16">
        <f>C24/3</f>
        <v>1</v>
      </c>
      <c r="E25" s="123"/>
      <c r="F25" s="124"/>
    </row>
    <row r="26" spans="1:8">
      <c r="A26" s="122"/>
      <c r="B26" s="125" t="s">
        <v>69</v>
      </c>
      <c r="C26" s="125">
        <v>5</v>
      </c>
      <c r="D26" s="35" t="s">
        <v>159</v>
      </c>
      <c r="E26" s="123"/>
      <c r="F26" s="124"/>
    </row>
    <row r="27" spans="1:8">
      <c r="A27" s="122"/>
      <c r="B27" s="125"/>
      <c r="C27" s="125"/>
      <c r="D27" s="16">
        <v>0</v>
      </c>
      <c r="E27" s="123"/>
      <c r="F27" s="124"/>
    </row>
    <row r="28" spans="1:8">
      <c r="A28" s="36" t="s">
        <v>70</v>
      </c>
      <c r="B28" s="37" t="s">
        <v>72</v>
      </c>
      <c r="C28" s="37" t="s">
        <v>16</v>
      </c>
      <c r="D28" s="126" t="s">
        <v>160</v>
      </c>
      <c r="E28" s="126"/>
      <c r="F28" s="127"/>
    </row>
    <row r="29" spans="1:8">
      <c r="A29" s="122" t="s">
        <v>62</v>
      </c>
      <c r="B29" s="16" t="s">
        <v>68</v>
      </c>
      <c r="C29" s="16">
        <v>6</v>
      </c>
      <c r="D29" s="129">
        <f>C29/9</f>
        <v>0.66666666666666663</v>
      </c>
      <c r="E29" s="129"/>
      <c r="F29" s="124"/>
    </row>
    <row r="30" spans="1:8" ht="16.5" thickBot="1">
      <c r="A30" s="128"/>
      <c r="B30" s="20" t="s">
        <v>69</v>
      </c>
      <c r="C30" s="20">
        <v>0</v>
      </c>
      <c r="D30" s="130"/>
      <c r="E30" s="130"/>
      <c r="F30" s="131"/>
    </row>
    <row r="32" spans="1:8" ht="16.5" thickBot="1">
      <c r="A32" s="14" t="s">
        <v>18</v>
      </c>
    </row>
    <row r="33" spans="1:8" hidden="1">
      <c r="A33" s="3" t="s">
        <v>58</v>
      </c>
      <c r="B33" s="4" t="s">
        <v>67</v>
      </c>
      <c r="C33" s="4" t="s">
        <v>3</v>
      </c>
      <c r="D33" s="4" t="s">
        <v>57</v>
      </c>
      <c r="E33" s="4" t="s">
        <v>59</v>
      </c>
      <c r="F33" s="4" t="s">
        <v>61</v>
      </c>
      <c r="G33" s="4" t="s">
        <v>60</v>
      </c>
      <c r="H33" s="5" t="s">
        <v>66</v>
      </c>
    </row>
    <row r="34" spans="1:8" ht="31.5" hidden="1">
      <c r="A34" s="28">
        <v>45880</v>
      </c>
      <c r="B34" s="16" t="s">
        <v>75</v>
      </c>
      <c r="C34" s="16" t="s">
        <v>121</v>
      </c>
      <c r="D34" s="16" t="s">
        <v>122</v>
      </c>
      <c r="E34" s="16" t="s">
        <v>41</v>
      </c>
      <c r="F34" s="33" t="s">
        <v>77</v>
      </c>
      <c r="G34" s="17" t="s">
        <v>146</v>
      </c>
      <c r="H34" s="29"/>
    </row>
    <row r="35" spans="1:8" ht="31.5" hidden="1">
      <c r="A35" s="28">
        <v>45880</v>
      </c>
      <c r="B35" s="16" t="s">
        <v>91</v>
      </c>
      <c r="C35" s="16" t="s">
        <v>123</v>
      </c>
      <c r="D35" s="16" t="s">
        <v>124</v>
      </c>
      <c r="E35" s="16" t="s">
        <v>41</v>
      </c>
      <c r="F35" s="33" t="s">
        <v>77</v>
      </c>
      <c r="G35" s="17" t="s">
        <v>147</v>
      </c>
      <c r="H35" s="29"/>
    </row>
    <row r="36" spans="1:8" hidden="1">
      <c r="A36" s="28">
        <v>45880</v>
      </c>
      <c r="B36" s="16" t="s">
        <v>75</v>
      </c>
      <c r="C36" s="16" t="s">
        <v>15</v>
      </c>
      <c r="D36" s="16" t="s">
        <v>125</v>
      </c>
      <c r="E36" s="16" t="s">
        <v>41</v>
      </c>
      <c r="F36" s="33" t="s">
        <v>77</v>
      </c>
      <c r="G36" s="17" t="s">
        <v>148</v>
      </c>
      <c r="H36" s="29"/>
    </row>
    <row r="37" spans="1:8" hidden="1">
      <c r="A37" s="28">
        <v>45880</v>
      </c>
      <c r="B37" s="16" t="s">
        <v>91</v>
      </c>
      <c r="C37" s="16" t="s">
        <v>126</v>
      </c>
      <c r="D37" s="16" t="s">
        <v>127</v>
      </c>
      <c r="E37" s="16" t="s">
        <v>41</v>
      </c>
      <c r="F37" s="33" t="s">
        <v>77</v>
      </c>
      <c r="G37" s="16" t="s">
        <v>149</v>
      </c>
      <c r="H37" s="29"/>
    </row>
    <row r="38" spans="1:8" hidden="1">
      <c r="A38" s="28">
        <v>45880</v>
      </c>
      <c r="B38" s="16" t="s">
        <v>75</v>
      </c>
      <c r="C38" s="16" t="s">
        <v>25</v>
      </c>
      <c r="D38" s="16" t="s">
        <v>128</v>
      </c>
      <c r="E38" s="16" t="s">
        <v>41</v>
      </c>
      <c r="F38" s="33" t="s">
        <v>77</v>
      </c>
      <c r="G38" s="16" t="s">
        <v>129</v>
      </c>
      <c r="H38" s="29"/>
    </row>
    <row r="39" spans="1:8" ht="31.5" hidden="1">
      <c r="A39" s="28">
        <v>45880</v>
      </c>
      <c r="B39" s="16" t="s">
        <v>75</v>
      </c>
      <c r="C39" s="16" t="s">
        <v>15</v>
      </c>
      <c r="D39" s="16" t="s">
        <v>130</v>
      </c>
      <c r="E39" s="16" t="s">
        <v>41</v>
      </c>
      <c r="F39" s="33" t="s">
        <v>77</v>
      </c>
      <c r="G39" s="17" t="s">
        <v>131</v>
      </c>
      <c r="H39" s="29"/>
    </row>
    <row r="40" spans="1:8" hidden="1">
      <c r="A40" s="28">
        <v>45880</v>
      </c>
      <c r="B40" s="16" t="s">
        <v>75</v>
      </c>
      <c r="C40" s="16" t="s">
        <v>15</v>
      </c>
      <c r="D40" s="16" t="s">
        <v>132</v>
      </c>
      <c r="E40" s="16" t="s">
        <v>41</v>
      </c>
      <c r="F40" s="33" t="s">
        <v>71</v>
      </c>
      <c r="G40" s="16" t="s">
        <v>150</v>
      </c>
      <c r="H40" s="29"/>
    </row>
    <row r="41" spans="1:8" hidden="1">
      <c r="A41" s="28">
        <v>45881</v>
      </c>
      <c r="B41" s="16" t="s">
        <v>75</v>
      </c>
      <c r="C41" s="16" t="s">
        <v>15</v>
      </c>
      <c r="D41" s="16" t="s">
        <v>134</v>
      </c>
      <c r="E41" s="16" t="s">
        <v>41</v>
      </c>
      <c r="F41" s="33" t="s">
        <v>64</v>
      </c>
      <c r="G41" s="16" t="s">
        <v>135</v>
      </c>
      <c r="H41" s="29"/>
    </row>
    <row r="42" spans="1:8" hidden="1">
      <c r="A42" s="28">
        <v>45881</v>
      </c>
      <c r="B42" s="16" t="s">
        <v>91</v>
      </c>
      <c r="C42" s="16" t="s">
        <v>111</v>
      </c>
      <c r="D42" s="16" t="s">
        <v>136</v>
      </c>
      <c r="E42" s="16" t="s">
        <v>41</v>
      </c>
      <c r="F42" s="33" t="s">
        <v>77</v>
      </c>
      <c r="G42" s="16" t="s">
        <v>129</v>
      </c>
      <c r="H42" s="29"/>
    </row>
    <row r="43" spans="1:8" ht="47.25" hidden="1">
      <c r="A43" s="28">
        <v>45881</v>
      </c>
      <c r="B43" s="16" t="s">
        <v>91</v>
      </c>
      <c r="C43" s="16" t="s">
        <v>137</v>
      </c>
      <c r="D43" s="16" t="s">
        <v>138</v>
      </c>
      <c r="E43" s="16" t="s">
        <v>41</v>
      </c>
      <c r="F43" s="33" t="s">
        <v>71</v>
      </c>
      <c r="G43" s="17" t="s">
        <v>151</v>
      </c>
      <c r="H43" s="29"/>
    </row>
    <row r="44" spans="1:8" hidden="1">
      <c r="A44" s="28">
        <v>45881</v>
      </c>
      <c r="B44" s="16" t="s">
        <v>91</v>
      </c>
      <c r="C44" s="16" t="s">
        <v>137</v>
      </c>
      <c r="D44" s="16" t="s">
        <v>139</v>
      </c>
      <c r="E44" s="16" t="s">
        <v>41</v>
      </c>
      <c r="F44" s="33" t="s">
        <v>77</v>
      </c>
      <c r="G44" s="16" t="s">
        <v>129</v>
      </c>
      <c r="H44" s="29"/>
    </row>
    <row r="45" spans="1:8" ht="31.5" hidden="1">
      <c r="A45" s="28">
        <v>45881</v>
      </c>
      <c r="B45" s="16" t="s">
        <v>91</v>
      </c>
      <c r="C45" s="16" t="s">
        <v>140</v>
      </c>
      <c r="D45" s="16" t="s">
        <v>141</v>
      </c>
      <c r="E45" s="16" t="s">
        <v>41</v>
      </c>
      <c r="F45" s="33" t="s">
        <v>71</v>
      </c>
      <c r="G45" s="17" t="s">
        <v>152</v>
      </c>
      <c r="H45" s="29"/>
    </row>
    <row r="46" spans="1:8" ht="47.25" hidden="1">
      <c r="A46" s="28">
        <v>45881</v>
      </c>
      <c r="B46" s="16" t="s">
        <v>75</v>
      </c>
      <c r="C46" s="16" t="s">
        <v>14</v>
      </c>
      <c r="D46" s="16" t="s">
        <v>142</v>
      </c>
      <c r="E46" s="16" t="s">
        <v>41</v>
      </c>
      <c r="F46" s="33" t="s">
        <v>71</v>
      </c>
      <c r="G46" s="17" t="s">
        <v>161</v>
      </c>
      <c r="H46" s="29"/>
    </row>
    <row r="47" spans="1:8" hidden="1">
      <c r="A47" s="28">
        <v>45881</v>
      </c>
      <c r="B47" s="16" t="s">
        <v>75</v>
      </c>
      <c r="C47" s="16" t="s">
        <v>15</v>
      </c>
      <c r="D47" s="16" t="s">
        <v>144</v>
      </c>
      <c r="E47" s="16" t="s">
        <v>41</v>
      </c>
      <c r="F47" s="33" t="s">
        <v>71</v>
      </c>
      <c r="G47" s="16" t="s">
        <v>153</v>
      </c>
      <c r="H47" s="29"/>
    </row>
    <row r="48" spans="1:8" hidden="1">
      <c r="A48" s="28">
        <v>45881</v>
      </c>
      <c r="B48" s="16" t="s">
        <v>75</v>
      </c>
      <c r="C48" s="16" t="s">
        <v>15</v>
      </c>
      <c r="D48" s="16" t="s">
        <v>133</v>
      </c>
      <c r="E48" s="16" t="s">
        <v>41</v>
      </c>
      <c r="F48" s="33" t="s">
        <v>77</v>
      </c>
      <c r="G48" s="16" t="s">
        <v>154</v>
      </c>
      <c r="H48" s="29"/>
    </row>
    <row r="49" spans="1:8" hidden="1">
      <c r="A49" s="28">
        <v>45881</v>
      </c>
      <c r="B49" s="16" t="s">
        <v>75</v>
      </c>
      <c r="C49" s="16" t="s">
        <v>15</v>
      </c>
      <c r="D49" s="16" t="s">
        <v>145</v>
      </c>
      <c r="E49" s="16" t="s">
        <v>41</v>
      </c>
      <c r="F49" s="33" t="s">
        <v>77</v>
      </c>
      <c r="G49" s="16" t="s">
        <v>154</v>
      </c>
      <c r="H49" s="29"/>
    </row>
    <row r="50" spans="1:8" ht="63" hidden="1">
      <c r="A50" s="28">
        <v>45882</v>
      </c>
      <c r="B50" s="16" t="s">
        <v>75</v>
      </c>
      <c r="C50" s="16" t="s">
        <v>15</v>
      </c>
      <c r="D50" s="16" t="s">
        <v>133</v>
      </c>
      <c r="E50" s="16" t="s">
        <v>40</v>
      </c>
      <c r="F50" s="33" t="s">
        <v>71</v>
      </c>
      <c r="G50" s="17" t="s">
        <v>167</v>
      </c>
      <c r="H50" s="29"/>
    </row>
    <row r="51" spans="1:8" ht="86.45" hidden="1" customHeight="1">
      <c r="A51" s="28">
        <v>45882</v>
      </c>
      <c r="B51" s="16" t="s">
        <v>75</v>
      </c>
      <c r="C51" s="16" t="s">
        <v>15</v>
      </c>
      <c r="D51" s="16" t="s">
        <v>134</v>
      </c>
      <c r="E51" s="16" t="s">
        <v>40</v>
      </c>
      <c r="F51" s="33" t="s">
        <v>71</v>
      </c>
      <c r="G51" s="17" t="s">
        <v>166</v>
      </c>
      <c r="H51" s="29"/>
    </row>
    <row r="52" spans="1:8" ht="64.5" hidden="1" customHeight="1">
      <c r="A52" s="28">
        <v>45882</v>
      </c>
      <c r="B52" s="16" t="s">
        <v>75</v>
      </c>
      <c r="C52" s="16" t="s">
        <v>15</v>
      </c>
      <c r="D52" s="16" t="s">
        <v>162</v>
      </c>
      <c r="E52" s="16" t="s">
        <v>40</v>
      </c>
      <c r="F52" s="33" t="s">
        <v>71</v>
      </c>
      <c r="G52" s="17" t="s">
        <v>168</v>
      </c>
      <c r="H52" s="29"/>
    </row>
    <row r="53" spans="1:8" ht="31.5" hidden="1">
      <c r="A53" s="28">
        <v>45883</v>
      </c>
      <c r="B53" s="16" t="s">
        <v>75</v>
      </c>
      <c r="C53" s="16" t="s">
        <v>55</v>
      </c>
      <c r="D53" s="16" t="s">
        <v>163</v>
      </c>
      <c r="E53" s="16" t="s">
        <v>40</v>
      </c>
      <c r="F53" s="33" t="s">
        <v>71</v>
      </c>
      <c r="G53" s="17" t="s">
        <v>169</v>
      </c>
      <c r="H53" s="29"/>
    </row>
    <row r="54" spans="1:8" hidden="1">
      <c r="A54" s="28">
        <v>45883</v>
      </c>
      <c r="B54" s="16" t="s">
        <v>75</v>
      </c>
      <c r="C54" s="16" t="s">
        <v>15</v>
      </c>
      <c r="D54" s="16" t="s">
        <v>143</v>
      </c>
      <c r="E54" s="16" t="s">
        <v>41</v>
      </c>
      <c r="F54" s="33" t="s">
        <v>77</v>
      </c>
      <c r="G54" s="16" t="s">
        <v>170</v>
      </c>
      <c r="H54" s="29"/>
    </row>
    <row r="55" spans="1:8" ht="47.25" hidden="1">
      <c r="A55" s="28">
        <v>45883</v>
      </c>
      <c r="B55" s="16" t="s">
        <v>75</v>
      </c>
      <c r="C55" s="16" t="s">
        <v>73</v>
      </c>
      <c r="D55" s="16" t="s">
        <v>164</v>
      </c>
      <c r="E55" s="16" t="s">
        <v>40</v>
      </c>
      <c r="F55" s="33" t="s">
        <v>71</v>
      </c>
      <c r="G55" s="17" t="s">
        <v>171</v>
      </c>
      <c r="H55" s="29"/>
    </row>
    <row r="56" spans="1:8" hidden="1">
      <c r="A56" s="28">
        <v>45883</v>
      </c>
      <c r="B56" s="16" t="s">
        <v>75</v>
      </c>
      <c r="C56" s="16" t="s">
        <v>42</v>
      </c>
      <c r="D56" s="16" t="s">
        <v>165</v>
      </c>
      <c r="E56" s="16" t="s">
        <v>41</v>
      </c>
      <c r="F56" s="33" t="s">
        <v>71</v>
      </c>
      <c r="G56" s="17" t="s">
        <v>172</v>
      </c>
      <c r="H56" s="29"/>
    </row>
    <row r="57" spans="1:8" ht="31.5" hidden="1">
      <c r="A57" s="28">
        <v>45884</v>
      </c>
      <c r="B57" s="16" t="s">
        <v>75</v>
      </c>
      <c r="C57" s="16" t="s">
        <v>15</v>
      </c>
      <c r="D57" s="16" t="s">
        <v>173</v>
      </c>
      <c r="E57" s="16" t="s">
        <v>41</v>
      </c>
      <c r="F57" s="33" t="s">
        <v>77</v>
      </c>
      <c r="G57" s="17" t="s">
        <v>183</v>
      </c>
      <c r="H57" s="29"/>
    </row>
    <row r="58" spans="1:8" ht="31.5" hidden="1">
      <c r="A58" s="28">
        <v>45884</v>
      </c>
      <c r="B58" s="16" t="s">
        <v>91</v>
      </c>
      <c r="C58" s="16" t="s">
        <v>74</v>
      </c>
      <c r="D58" s="16" t="s">
        <v>174</v>
      </c>
      <c r="E58" s="16" t="s">
        <v>40</v>
      </c>
      <c r="F58" s="33" t="s">
        <v>71</v>
      </c>
      <c r="G58" s="17" t="s">
        <v>184</v>
      </c>
      <c r="H58" s="29"/>
    </row>
    <row r="59" spans="1:8" ht="78.75" hidden="1">
      <c r="A59" s="28">
        <v>45884</v>
      </c>
      <c r="B59" s="16" t="s">
        <v>75</v>
      </c>
      <c r="C59" s="16" t="s">
        <v>14</v>
      </c>
      <c r="D59" s="16" t="s">
        <v>175</v>
      </c>
      <c r="E59" s="16" t="s">
        <v>40</v>
      </c>
      <c r="F59" s="33" t="s">
        <v>71</v>
      </c>
      <c r="G59" s="17" t="s">
        <v>178</v>
      </c>
      <c r="H59" s="29"/>
    </row>
    <row r="60" spans="1:8" ht="31.5" hidden="1">
      <c r="A60" s="28">
        <v>45884</v>
      </c>
      <c r="B60" s="16" t="s">
        <v>75</v>
      </c>
      <c r="C60" s="16" t="s">
        <v>15</v>
      </c>
      <c r="D60" s="16" t="s">
        <v>177</v>
      </c>
      <c r="E60" s="16" t="s">
        <v>41</v>
      </c>
      <c r="F60" s="33" t="s">
        <v>77</v>
      </c>
      <c r="G60" s="17" t="s">
        <v>185</v>
      </c>
      <c r="H60" s="29"/>
    </row>
    <row r="61" spans="1:8" hidden="1">
      <c r="A61" s="28">
        <v>45884</v>
      </c>
      <c r="B61" s="16" t="s">
        <v>91</v>
      </c>
      <c r="C61" s="16" t="s">
        <v>137</v>
      </c>
      <c r="D61" s="16" t="s">
        <v>138</v>
      </c>
      <c r="E61" s="16" t="s">
        <v>41</v>
      </c>
      <c r="F61" s="33" t="s">
        <v>77</v>
      </c>
      <c r="G61" s="16" t="s">
        <v>129</v>
      </c>
      <c r="H61" s="29"/>
    </row>
    <row r="62" spans="1:8" ht="16.5" hidden="1" thickBot="1">
      <c r="A62" s="31"/>
      <c r="B62" s="20"/>
      <c r="C62" s="20"/>
      <c r="D62" s="20"/>
      <c r="E62" s="20"/>
      <c r="F62" s="20"/>
      <c r="G62" s="20"/>
      <c r="H62" s="30"/>
    </row>
    <row r="63" spans="1:8" ht="16.5" hidden="1" thickBot="1"/>
    <row r="64" spans="1:8">
      <c r="A64" s="3" t="s">
        <v>70</v>
      </c>
      <c r="B64" s="4" t="s">
        <v>72</v>
      </c>
      <c r="C64" s="4" t="s">
        <v>16</v>
      </c>
      <c r="D64" s="34" t="s">
        <v>155</v>
      </c>
      <c r="E64" s="9" t="s">
        <v>156</v>
      </c>
      <c r="F64" s="10" t="s">
        <v>157</v>
      </c>
    </row>
    <row r="65" spans="1:8">
      <c r="A65" s="122" t="s">
        <v>63</v>
      </c>
      <c r="B65" s="16" t="s">
        <v>68</v>
      </c>
      <c r="C65" s="16">
        <v>6</v>
      </c>
      <c r="D65" s="16">
        <v>6</v>
      </c>
      <c r="E65" s="123">
        <f>D65+D67+D69</f>
        <v>6.333333333333333</v>
      </c>
      <c r="F65" s="124">
        <f>E65/12</f>
        <v>0.52777777777777779</v>
      </c>
    </row>
    <row r="66" spans="1:8">
      <c r="A66" s="122"/>
      <c r="B66" s="125" t="s">
        <v>65</v>
      </c>
      <c r="C66" s="125">
        <v>1</v>
      </c>
      <c r="D66" s="35" t="s">
        <v>158</v>
      </c>
      <c r="E66" s="123"/>
      <c r="F66" s="124"/>
    </row>
    <row r="67" spans="1:8">
      <c r="A67" s="122"/>
      <c r="B67" s="125"/>
      <c r="C67" s="125"/>
      <c r="D67" s="16">
        <f>C66/3</f>
        <v>0.33333333333333331</v>
      </c>
      <c r="E67" s="123"/>
      <c r="F67" s="124"/>
    </row>
    <row r="68" spans="1:8">
      <c r="A68" s="122"/>
      <c r="B68" s="125" t="s">
        <v>69</v>
      </c>
      <c r="C68" s="125">
        <v>14</v>
      </c>
      <c r="D68" s="35" t="s">
        <v>159</v>
      </c>
      <c r="E68" s="123"/>
      <c r="F68" s="124"/>
    </row>
    <row r="69" spans="1:8">
      <c r="A69" s="122"/>
      <c r="B69" s="125"/>
      <c r="C69" s="125"/>
      <c r="D69" s="16">
        <v>0</v>
      </c>
      <c r="E69" s="123"/>
      <c r="F69" s="124"/>
    </row>
    <row r="70" spans="1:8">
      <c r="A70" s="36" t="s">
        <v>70</v>
      </c>
      <c r="B70" s="37" t="s">
        <v>72</v>
      </c>
      <c r="C70" s="37" t="s">
        <v>16</v>
      </c>
      <c r="D70" s="126" t="s">
        <v>160</v>
      </c>
      <c r="E70" s="126"/>
      <c r="F70" s="127"/>
    </row>
    <row r="71" spans="1:8">
      <c r="A71" s="122" t="s">
        <v>62</v>
      </c>
      <c r="B71" s="16" t="s">
        <v>68</v>
      </c>
      <c r="C71" s="16">
        <v>7</v>
      </c>
      <c r="D71" s="129">
        <f>C71/9</f>
        <v>0.77777777777777779</v>
      </c>
      <c r="E71" s="129"/>
      <c r="F71" s="124"/>
    </row>
    <row r="72" spans="1:8" ht="16.5" thickBot="1">
      <c r="A72" s="128"/>
      <c r="B72" s="20" t="s">
        <v>69</v>
      </c>
      <c r="C72" s="20">
        <v>0</v>
      </c>
      <c r="D72" s="130"/>
      <c r="E72" s="130"/>
      <c r="F72" s="131"/>
    </row>
    <row r="74" spans="1:8" ht="16.5" thickBot="1">
      <c r="A74" s="14" t="s">
        <v>20</v>
      </c>
    </row>
    <row r="75" spans="1:8" hidden="1">
      <c r="A75" s="3" t="s">
        <v>58</v>
      </c>
      <c r="B75" s="4" t="s">
        <v>67</v>
      </c>
      <c r="C75" s="4" t="s">
        <v>3</v>
      </c>
      <c r="D75" s="4" t="s">
        <v>57</v>
      </c>
      <c r="E75" s="4" t="s">
        <v>59</v>
      </c>
      <c r="F75" s="4" t="s">
        <v>61</v>
      </c>
      <c r="G75" s="4" t="s">
        <v>60</v>
      </c>
      <c r="H75" s="5" t="s">
        <v>66</v>
      </c>
    </row>
    <row r="76" spans="1:8" hidden="1">
      <c r="A76" s="28">
        <v>45887</v>
      </c>
      <c r="B76" s="16" t="s">
        <v>91</v>
      </c>
      <c r="C76" s="16" t="s">
        <v>137</v>
      </c>
      <c r="D76" s="16" t="s">
        <v>138</v>
      </c>
      <c r="E76" s="16" t="s">
        <v>41</v>
      </c>
      <c r="F76" s="33" t="s">
        <v>64</v>
      </c>
      <c r="G76" s="17" t="s">
        <v>213</v>
      </c>
      <c r="H76" s="29"/>
    </row>
    <row r="77" spans="1:8" hidden="1">
      <c r="A77" s="28">
        <v>45887</v>
      </c>
      <c r="B77" s="16" t="s">
        <v>75</v>
      </c>
      <c r="C77" s="16" t="s">
        <v>15</v>
      </c>
      <c r="D77" s="16" t="s">
        <v>134</v>
      </c>
      <c r="E77" s="16" t="s">
        <v>41</v>
      </c>
      <c r="F77" s="33" t="s">
        <v>64</v>
      </c>
      <c r="G77" s="17" t="s">
        <v>186</v>
      </c>
      <c r="H77" s="29"/>
    </row>
    <row r="78" spans="1:8" hidden="1">
      <c r="A78" s="28">
        <v>45887</v>
      </c>
      <c r="B78" s="16" t="s">
        <v>91</v>
      </c>
      <c r="C78" s="16" t="s">
        <v>187</v>
      </c>
      <c r="D78" s="16" t="s">
        <v>188</v>
      </c>
      <c r="E78" s="16" t="s">
        <v>41</v>
      </c>
      <c r="F78" s="33" t="s">
        <v>64</v>
      </c>
      <c r="G78" s="17" t="s">
        <v>213</v>
      </c>
      <c r="H78" s="29"/>
    </row>
    <row r="79" spans="1:8" ht="31.5" hidden="1">
      <c r="A79" s="28">
        <v>45887</v>
      </c>
      <c r="B79" s="16" t="s">
        <v>75</v>
      </c>
      <c r="C79" s="16" t="s">
        <v>176</v>
      </c>
      <c r="D79" s="16" t="s">
        <v>189</v>
      </c>
      <c r="E79" s="16" t="s">
        <v>41</v>
      </c>
      <c r="F79" s="33" t="s">
        <v>77</v>
      </c>
      <c r="G79" s="17" t="s">
        <v>216</v>
      </c>
      <c r="H79" s="29"/>
    </row>
    <row r="80" spans="1:8" hidden="1">
      <c r="A80" s="28">
        <v>45887</v>
      </c>
      <c r="B80" s="16" t="s">
        <v>91</v>
      </c>
      <c r="C80" s="16" t="s">
        <v>190</v>
      </c>
      <c r="D80" s="16" t="s">
        <v>127</v>
      </c>
      <c r="E80" s="16" t="s">
        <v>41</v>
      </c>
      <c r="F80" s="33" t="s">
        <v>77</v>
      </c>
      <c r="G80" s="16" t="s">
        <v>215</v>
      </c>
      <c r="H80" s="29"/>
    </row>
    <row r="81" spans="1:8" hidden="1">
      <c r="A81" s="28">
        <v>45888</v>
      </c>
      <c r="B81" s="16" t="s">
        <v>75</v>
      </c>
      <c r="C81" s="16" t="s">
        <v>15</v>
      </c>
      <c r="D81" s="16" t="s">
        <v>191</v>
      </c>
      <c r="E81" s="16" t="s">
        <v>40</v>
      </c>
      <c r="F81" s="33" t="s">
        <v>71</v>
      </c>
      <c r="G81" s="17"/>
      <c r="H81" s="29"/>
    </row>
    <row r="82" spans="1:8" hidden="1">
      <c r="A82" s="28">
        <v>45888</v>
      </c>
      <c r="B82" s="16" t="s">
        <v>91</v>
      </c>
      <c r="C82" s="16" t="s">
        <v>137</v>
      </c>
      <c r="D82" s="16" t="s">
        <v>192</v>
      </c>
      <c r="E82" s="16" t="s">
        <v>40</v>
      </c>
      <c r="F82" s="33" t="s">
        <v>71</v>
      </c>
      <c r="G82" s="16"/>
      <c r="H82" s="29"/>
    </row>
    <row r="83" spans="1:8" hidden="1">
      <c r="A83" s="28">
        <v>45888</v>
      </c>
      <c r="B83" s="16" t="s">
        <v>91</v>
      </c>
      <c r="C83" s="16" t="s">
        <v>140</v>
      </c>
      <c r="D83" s="16" t="s">
        <v>193</v>
      </c>
      <c r="E83" s="16" t="s">
        <v>40</v>
      </c>
      <c r="F83" s="33" t="s">
        <v>71</v>
      </c>
      <c r="G83" s="16"/>
      <c r="H83" s="29"/>
    </row>
    <row r="84" spans="1:8" ht="47.25" hidden="1">
      <c r="A84" s="28">
        <v>45889</v>
      </c>
      <c r="B84" s="16" t="s">
        <v>75</v>
      </c>
      <c r="C84" s="16" t="s">
        <v>56</v>
      </c>
      <c r="D84" s="16" t="s">
        <v>194</v>
      </c>
      <c r="E84" s="16" t="s">
        <v>40</v>
      </c>
      <c r="F84" s="33" t="s">
        <v>71</v>
      </c>
      <c r="G84" s="17" t="s">
        <v>266</v>
      </c>
      <c r="H84" s="29"/>
    </row>
    <row r="85" spans="1:8" hidden="1">
      <c r="A85" s="28">
        <v>45889</v>
      </c>
      <c r="B85" s="16" t="s">
        <v>75</v>
      </c>
      <c r="C85" s="16" t="s">
        <v>49</v>
      </c>
      <c r="D85" s="16" t="s">
        <v>195</v>
      </c>
      <c r="E85" s="16" t="s">
        <v>41</v>
      </c>
      <c r="F85" s="33" t="s">
        <v>77</v>
      </c>
      <c r="G85" s="17" t="s">
        <v>208</v>
      </c>
      <c r="H85" s="29"/>
    </row>
    <row r="86" spans="1:8" hidden="1">
      <c r="A86" s="28">
        <v>45889</v>
      </c>
      <c r="B86" s="16" t="s">
        <v>75</v>
      </c>
      <c r="C86" s="16" t="s">
        <v>15</v>
      </c>
      <c r="D86" s="16" t="s">
        <v>196</v>
      </c>
      <c r="E86" s="16" t="s">
        <v>41</v>
      </c>
      <c r="F86" s="33" t="s">
        <v>71</v>
      </c>
      <c r="G86" s="16" t="s">
        <v>209</v>
      </c>
      <c r="H86" s="29"/>
    </row>
    <row r="87" spans="1:8" hidden="1">
      <c r="A87" s="28">
        <v>45889</v>
      </c>
      <c r="B87" s="16" t="s">
        <v>75</v>
      </c>
      <c r="C87" s="16" t="s">
        <v>15</v>
      </c>
      <c r="D87" s="16" t="s">
        <v>143</v>
      </c>
      <c r="E87" s="16" t="s">
        <v>41</v>
      </c>
      <c r="F87" s="33" t="s">
        <v>77</v>
      </c>
      <c r="G87" s="17" t="s">
        <v>210</v>
      </c>
      <c r="H87" s="29"/>
    </row>
    <row r="88" spans="1:8" hidden="1">
      <c r="A88" s="28">
        <v>45889</v>
      </c>
      <c r="B88" s="16" t="s">
        <v>75</v>
      </c>
      <c r="C88" s="16" t="s">
        <v>15</v>
      </c>
      <c r="D88" s="16" t="s">
        <v>134</v>
      </c>
      <c r="E88" s="16" t="s">
        <v>41</v>
      </c>
      <c r="F88" s="33" t="s">
        <v>77</v>
      </c>
      <c r="G88" s="16" t="s">
        <v>129</v>
      </c>
      <c r="H88" s="29"/>
    </row>
    <row r="89" spans="1:8" hidden="1">
      <c r="A89" s="28">
        <v>45889</v>
      </c>
      <c r="B89" s="16" t="s">
        <v>197</v>
      </c>
      <c r="C89" s="16" t="s">
        <v>121</v>
      </c>
      <c r="D89" s="16" t="s">
        <v>198</v>
      </c>
      <c r="E89" s="16" t="s">
        <v>41</v>
      </c>
      <c r="F89" s="33" t="s">
        <v>71</v>
      </c>
      <c r="G89" s="16" t="s">
        <v>211</v>
      </c>
      <c r="H89" s="29"/>
    </row>
    <row r="90" spans="1:8" hidden="1">
      <c r="A90" s="28">
        <v>45889</v>
      </c>
      <c r="B90" s="16" t="s">
        <v>75</v>
      </c>
      <c r="C90" s="16" t="s">
        <v>14</v>
      </c>
      <c r="D90" s="16" t="s">
        <v>142</v>
      </c>
      <c r="E90" s="16" t="s">
        <v>41</v>
      </c>
      <c r="F90" s="33" t="s">
        <v>77</v>
      </c>
      <c r="G90" s="16" t="s">
        <v>129</v>
      </c>
      <c r="H90" s="29"/>
    </row>
    <row r="91" spans="1:8" hidden="1">
      <c r="A91" s="28">
        <v>45889</v>
      </c>
      <c r="B91" s="16" t="s">
        <v>91</v>
      </c>
      <c r="C91" s="16" t="s">
        <v>199</v>
      </c>
      <c r="D91" s="16" t="s">
        <v>200</v>
      </c>
      <c r="E91" s="16" t="s">
        <v>63</v>
      </c>
      <c r="F91" s="33" t="s">
        <v>77</v>
      </c>
      <c r="G91" s="17" t="s">
        <v>212</v>
      </c>
      <c r="H91" s="29"/>
    </row>
    <row r="92" spans="1:8" hidden="1">
      <c r="A92" s="28">
        <v>45889</v>
      </c>
      <c r="B92" s="16" t="s">
        <v>91</v>
      </c>
      <c r="C92" s="16" t="s">
        <v>199</v>
      </c>
      <c r="D92" s="16" t="s">
        <v>201</v>
      </c>
      <c r="E92" s="16" t="s">
        <v>63</v>
      </c>
      <c r="F92" s="33" t="s">
        <v>77</v>
      </c>
      <c r="G92" s="17" t="s">
        <v>212</v>
      </c>
      <c r="H92" s="29"/>
    </row>
    <row r="93" spans="1:8" hidden="1">
      <c r="A93" s="28">
        <v>45889</v>
      </c>
      <c r="B93" s="16" t="s">
        <v>91</v>
      </c>
      <c r="C93" s="16" t="s">
        <v>202</v>
      </c>
      <c r="D93" s="16" t="s">
        <v>203</v>
      </c>
      <c r="E93" s="16" t="s">
        <v>41</v>
      </c>
      <c r="F93" s="33" t="s">
        <v>77</v>
      </c>
      <c r="G93" s="17" t="s">
        <v>204</v>
      </c>
      <c r="H93" s="29"/>
    </row>
    <row r="94" spans="1:8" hidden="1">
      <c r="A94" s="28">
        <v>45889</v>
      </c>
      <c r="B94" s="16" t="s">
        <v>91</v>
      </c>
      <c r="C94" s="16" t="s">
        <v>205</v>
      </c>
      <c r="D94" s="16" t="s">
        <v>206</v>
      </c>
      <c r="E94" s="16" t="s">
        <v>41</v>
      </c>
      <c r="F94" s="33" t="s">
        <v>71</v>
      </c>
      <c r="G94" s="17" t="s">
        <v>207</v>
      </c>
      <c r="H94" s="29"/>
    </row>
    <row r="95" spans="1:8" hidden="1">
      <c r="A95" s="28">
        <v>45889</v>
      </c>
      <c r="B95" s="16" t="s">
        <v>91</v>
      </c>
      <c r="C95" s="16" t="s">
        <v>137</v>
      </c>
      <c r="D95" s="16" t="s">
        <v>192</v>
      </c>
      <c r="E95" s="16" t="s">
        <v>41</v>
      </c>
      <c r="F95" s="33" t="s">
        <v>71</v>
      </c>
      <c r="G95" s="16" t="s">
        <v>214</v>
      </c>
      <c r="H95" s="29"/>
    </row>
    <row r="96" spans="1:8" ht="31.5" hidden="1">
      <c r="A96" s="28">
        <v>45890</v>
      </c>
      <c r="B96" s="16" t="s">
        <v>75</v>
      </c>
      <c r="C96" s="16" t="s">
        <v>15</v>
      </c>
      <c r="D96" s="16" t="s">
        <v>133</v>
      </c>
      <c r="E96" s="16" t="s">
        <v>41</v>
      </c>
      <c r="F96" s="33" t="s">
        <v>71</v>
      </c>
      <c r="G96" s="17" t="s">
        <v>218</v>
      </c>
      <c r="H96" s="29"/>
    </row>
    <row r="97" spans="1:8" hidden="1">
      <c r="A97" s="28">
        <v>45890</v>
      </c>
      <c r="B97" s="16" t="s">
        <v>91</v>
      </c>
      <c r="C97" s="16" t="s">
        <v>219</v>
      </c>
      <c r="D97" s="16" t="s">
        <v>220</v>
      </c>
      <c r="E97" s="16" t="s">
        <v>41</v>
      </c>
      <c r="F97" s="33" t="s">
        <v>77</v>
      </c>
      <c r="G97" s="17" t="s">
        <v>226</v>
      </c>
      <c r="H97" s="29"/>
    </row>
    <row r="98" spans="1:8" hidden="1">
      <c r="A98" s="28">
        <v>45890</v>
      </c>
      <c r="B98" s="16" t="s">
        <v>91</v>
      </c>
      <c r="C98" s="16" t="s">
        <v>222</v>
      </c>
      <c r="D98" s="16" t="s">
        <v>223</v>
      </c>
      <c r="E98" s="16" t="s">
        <v>41</v>
      </c>
      <c r="F98" s="33" t="s">
        <v>77</v>
      </c>
      <c r="G98" s="17" t="s">
        <v>224</v>
      </c>
      <c r="H98" s="29"/>
    </row>
    <row r="99" spans="1:8" ht="31.5" hidden="1">
      <c r="A99" s="28">
        <v>45890</v>
      </c>
      <c r="B99" s="16" t="s">
        <v>91</v>
      </c>
      <c r="C99" s="16" t="s">
        <v>199</v>
      </c>
      <c r="D99" s="16" t="s">
        <v>200</v>
      </c>
      <c r="E99" s="16" t="s">
        <v>63</v>
      </c>
      <c r="F99" s="33" t="s">
        <v>71</v>
      </c>
      <c r="G99" s="17" t="s">
        <v>225</v>
      </c>
      <c r="H99" s="29"/>
    </row>
    <row r="100" spans="1:8" hidden="1">
      <c r="A100" s="28">
        <v>45890</v>
      </c>
      <c r="B100" s="16" t="s">
        <v>75</v>
      </c>
      <c r="C100" s="16" t="s">
        <v>217</v>
      </c>
      <c r="D100" s="16" t="s">
        <v>134</v>
      </c>
      <c r="E100" s="16" t="s">
        <v>41</v>
      </c>
      <c r="F100" s="33" t="s">
        <v>64</v>
      </c>
      <c r="G100" s="17" t="s">
        <v>227</v>
      </c>
      <c r="H100" s="29"/>
    </row>
    <row r="101" spans="1:8" hidden="1">
      <c r="A101" s="28">
        <v>45890</v>
      </c>
      <c r="B101" s="16" t="s">
        <v>75</v>
      </c>
      <c r="C101" s="16" t="s">
        <v>15</v>
      </c>
      <c r="D101" s="16" t="s">
        <v>221</v>
      </c>
      <c r="E101" s="16" t="s">
        <v>41</v>
      </c>
      <c r="F101" s="33" t="s">
        <v>77</v>
      </c>
      <c r="G101" s="16" t="s">
        <v>241</v>
      </c>
      <c r="H101" s="29"/>
    </row>
    <row r="102" spans="1:8" hidden="1">
      <c r="A102" s="28">
        <v>45890</v>
      </c>
      <c r="B102" s="16" t="s">
        <v>91</v>
      </c>
      <c r="C102" s="16" t="s">
        <v>228</v>
      </c>
      <c r="D102" s="16" t="s">
        <v>229</v>
      </c>
      <c r="E102" s="16" t="s">
        <v>41</v>
      </c>
      <c r="F102" s="33" t="s">
        <v>69</v>
      </c>
      <c r="G102" s="16" t="s">
        <v>245</v>
      </c>
      <c r="H102" s="29"/>
    </row>
    <row r="103" spans="1:8" hidden="1">
      <c r="A103" s="28">
        <v>45890</v>
      </c>
      <c r="B103" s="16" t="s">
        <v>91</v>
      </c>
      <c r="C103" s="16" t="s">
        <v>230</v>
      </c>
      <c r="D103" s="16" t="s">
        <v>231</v>
      </c>
      <c r="E103" s="16" t="s">
        <v>41</v>
      </c>
      <c r="F103" s="33" t="s">
        <v>77</v>
      </c>
      <c r="G103" s="16" t="s">
        <v>129</v>
      </c>
      <c r="H103" s="29"/>
    </row>
    <row r="104" spans="1:8" hidden="1">
      <c r="A104" s="28">
        <v>45890</v>
      </c>
      <c r="B104" s="16" t="s">
        <v>91</v>
      </c>
      <c r="C104" s="16" t="s">
        <v>111</v>
      </c>
      <c r="D104" s="16" t="s">
        <v>232</v>
      </c>
      <c r="E104" s="16" t="s">
        <v>41</v>
      </c>
      <c r="F104" s="33" t="s">
        <v>77</v>
      </c>
      <c r="G104" s="16" t="s">
        <v>233</v>
      </c>
      <c r="H104" s="29"/>
    </row>
    <row r="105" spans="1:8" hidden="1">
      <c r="A105" s="28">
        <v>45890</v>
      </c>
      <c r="B105" s="16" t="s">
        <v>91</v>
      </c>
      <c r="C105" s="16" t="s">
        <v>234</v>
      </c>
      <c r="D105" s="16" t="s">
        <v>235</v>
      </c>
      <c r="E105" s="16" t="s">
        <v>41</v>
      </c>
      <c r="F105" s="33" t="s">
        <v>77</v>
      </c>
      <c r="G105" s="16" t="s">
        <v>236</v>
      </c>
      <c r="H105" s="29"/>
    </row>
    <row r="106" spans="1:8" hidden="1">
      <c r="A106" s="28">
        <v>45890</v>
      </c>
      <c r="B106" s="16" t="s">
        <v>91</v>
      </c>
      <c r="C106" s="16" t="s">
        <v>242</v>
      </c>
      <c r="D106" s="16" t="s">
        <v>237</v>
      </c>
      <c r="E106" s="16" t="s">
        <v>41</v>
      </c>
      <c r="F106" s="33" t="s">
        <v>77</v>
      </c>
      <c r="G106" s="16" t="s">
        <v>238</v>
      </c>
      <c r="H106" s="29"/>
    </row>
    <row r="107" spans="1:8" hidden="1">
      <c r="A107" s="28">
        <v>45890</v>
      </c>
      <c r="B107" s="16" t="s">
        <v>91</v>
      </c>
      <c r="C107" s="16" t="s">
        <v>242</v>
      </c>
      <c r="D107" s="16" t="s">
        <v>239</v>
      </c>
      <c r="E107" s="16" t="s">
        <v>41</v>
      </c>
      <c r="F107" s="33" t="s">
        <v>77</v>
      </c>
      <c r="G107" s="16" t="s">
        <v>240</v>
      </c>
      <c r="H107" s="29"/>
    </row>
    <row r="108" spans="1:8" hidden="1">
      <c r="A108" s="28">
        <v>45890</v>
      </c>
      <c r="B108" s="16" t="s">
        <v>91</v>
      </c>
      <c r="C108" s="16" t="s">
        <v>243</v>
      </c>
      <c r="D108" s="16" t="s">
        <v>244</v>
      </c>
      <c r="E108" s="16" t="s">
        <v>41</v>
      </c>
      <c r="F108" s="33" t="s">
        <v>71</v>
      </c>
      <c r="G108" s="16" t="s">
        <v>246</v>
      </c>
      <c r="H108" s="29"/>
    </row>
    <row r="109" spans="1:8" hidden="1">
      <c r="A109" s="28">
        <v>45891</v>
      </c>
      <c r="B109" s="16" t="s">
        <v>91</v>
      </c>
      <c r="C109" s="16" t="s">
        <v>247</v>
      </c>
      <c r="D109" s="16" t="s">
        <v>248</v>
      </c>
      <c r="E109" s="16" t="s">
        <v>41</v>
      </c>
      <c r="F109" s="33" t="s">
        <v>71</v>
      </c>
      <c r="G109" s="16" t="s">
        <v>249</v>
      </c>
      <c r="H109" s="29"/>
    </row>
    <row r="110" spans="1:8" hidden="1">
      <c r="A110" s="28">
        <v>45891</v>
      </c>
      <c r="B110" s="16" t="s">
        <v>91</v>
      </c>
      <c r="C110" s="16" t="s">
        <v>250</v>
      </c>
      <c r="D110" s="16" t="s">
        <v>267</v>
      </c>
      <c r="E110" s="16" t="s">
        <v>41</v>
      </c>
      <c r="F110" s="33" t="s">
        <v>77</v>
      </c>
      <c r="G110" s="16" t="s">
        <v>251</v>
      </c>
      <c r="H110" s="29"/>
    </row>
    <row r="111" spans="1:8" hidden="1">
      <c r="A111" s="28">
        <v>45891</v>
      </c>
      <c r="B111" s="16" t="s">
        <v>91</v>
      </c>
      <c r="C111" s="16" t="s">
        <v>252</v>
      </c>
      <c r="D111" s="16" t="s">
        <v>253</v>
      </c>
      <c r="E111" s="16" t="s">
        <v>41</v>
      </c>
      <c r="F111" s="33" t="s">
        <v>77</v>
      </c>
      <c r="G111" s="16" t="s">
        <v>254</v>
      </c>
      <c r="H111" s="29"/>
    </row>
    <row r="112" spans="1:8" hidden="1">
      <c r="A112" s="28">
        <v>45891</v>
      </c>
      <c r="B112" s="16" t="s">
        <v>91</v>
      </c>
      <c r="C112" s="16" t="s">
        <v>255</v>
      </c>
      <c r="D112" s="16" t="s">
        <v>256</v>
      </c>
      <c r="E112" s="16" t="s">
        <v>41</v>
      </c>
      <c r="F112" s="33" t="s">
        <v>77</v>
      </c>
      <c r="G112" s="16" t="s">
        <v>129</v>
      </c>
      <c r="H112" s="29"/>
    </row>
    <row r="113" spans="1:8" hidden="1">
      <c r="A113" s="28">
        <v>45891</v>
      </c>
      <c r="B113" s="16" t="s">
        <v>75</v>
      </c>
      <c r="C113" s="16" t="s">
        <v>14</v>
      </c>
      <c r="D113" s="16" t="s">
        <v>257</v>
      </c>
      <c r="E113" s="16" t="s">
        <v>41</v>
      </c>
      <c r="F113" s="33" t="s">
        <v>71</v>
      </c>
      <c r="G113" s="16" t="s">
        <v>258</v>
      </c>
      <c r="H113" s="29"/>
    </row>
    <row r="114" spans="1:8" ht="36" hidden="1" customHeight="1">
      <c r="A114" s="28">
        <v>45891</v>
      </c>
      <c r="B114" s="16" t="s">
        <v>91</v>
      </c>
      <c r="C114" s="16" t="s">
        <v>230</v>
      </c>
      <c r="D114" s="16" t="s">
        <v>231</v>
      </c>
      <c r="E114" s="16" t="s">
        <v>41</v>
      </c>
      <c r="F114" s="33" t="s">
        <v>71</v>
      </c>
      <c r="G114" s="17" t="s">
        <v>259</v>
      </c>
      <c r="H114" s="29"/>
    </row>
    <row r="115" spans="1:8" hidden="1">
      <c r="A115" s="28">
        <v>45891</v>
      </c>
      <c r="B115" s="16" t="s">
        <v>91</v>
      </c>
      <c r="C115" s="16" t="s">
        <v>111</v>
      </c>
      <c r="D115" s="16" t="s">
        <v>232</v>
      </c>
      <c r="E115" s="16" t="s">
        <v>41</v>
      </c>
      <c r="F115" s="33" t="s">
        <v>77</v>
      </c>
      <c r="G115" s="16" t="s">
        <v>260</v>
      </c>
      <c r="H115" s="29"/>
    </row>
    <row r="116" spans="1:8" hidden="1">
      <c r="A116" s="28">
        <v>45891</v>
      </c>
      <c r="B116" s="16" t="s">
        <v>91</v>
      </c>
      <c r="C116" s="16" t="s">
        <v>111</v>
      </c>
      <c r="D116" s="16" t="s">
        <v>261</v>
      </c>
      <c r="E116" s="16" t="s">
        <v>41</v>
      </c>
      <c r="F116" s="33" t="s">
        <v>77</v>
      </c>
      <c r="G116" s="16" t="s">
        <v>129</v>
      </c>
      <c r="H116" s="29"/>
    </row>
    <row r="117" spans="1:8" hidden="1">
      <c r="A117" s="28">
        <v>45891</v>
      </c>
      <c r="B117" s="16" t="s">
        <v>75</v>
      </c>
      <c r="C117" s="16" t="s">
        <v>176</v>
      </c>
      <c r="D117" s="16" t="s">
        <v>189</v>
      </c>
      <c r="E117" s="16" t="s">
        <v>41</v>
      </c>
      <c r="F117" s="33" t="s">
        <v>77</v>
      </c>
      <c r="G117" s="16" t="s">
        <v>262</v>
      </c>
      <c r="H117" s="29"/>
    </row>
    <row r="118" spans="1:8" hidden="1">
      <c r="A118" s="28">
        <v>45891</v>
      </c>
      <c r="B118" s="16" t="s">
        <v>75</v>
      </c>
      <c r="C118" s="16" t="s">
        <v>42</v>
      </c>
      <c r="D118" s="16" t="s">
        <v>263</v>
      </c>
      <c r="E118" s="16" t="s">
        <v>41</v>
      </c>
      <c r="F118" s="33" t="s">
        <v>77</v>
      </c>
      <c r="G118" s="16" t="s">
        <v>265</v>
      </c>
      <c r="H118" s="29"/>
    </row>
    <row r="119" spans="1:8" hidden="1">
      <c r="A119" s="28">
        <v>45891</v>
      </c>
      <c r="B119" s="16" t="s">
        <v>75</v>
      </c>
      <c r="C119" s="16" t="s">
        <v>15</v>
      </c>
      <c r="D119" s="16" t="s">
        <v>134</v>
      </c>
      <c r="E119" s="16" t="s">
        <v>41</v>
      </c>
      <c r="F119" s="33" t="s">
        <v>71</v>
      </c>
      <c r="G119" s="16" t="s">
        <v>264</v>
      </c>
      <c r="H119" s="29"/>
    </row>
    <row r="120" spans="1:8" hidden="1">
      <c r="A120" s="28"/>
      <c r="B120" s="16"/>
      <c r="C120" s="16"/>
      <c r="D120" s="16"/>
      <c r="E120" s="16"/>
      <c r="F120" s="33"/>
      <c r="G120" s="16"/>
      <c r="H120" s="29"/>
    </row>
    <row r="121" spans="1:8" ht="16.5" hidden="1" thickBot="1">
      <c r="A121" s="31"/>
      <c r="B121" s="20"/>
      <c r="C121" s="20"/>
      <c r="D121" s="20"/>
      <c r="E121" s="20"/>
      <c r="F121" s="20"/>
      <c r="G121" s="20"/>
      <c r="H121" s="30"/>
    </row>
    <row r="122" spans="1:8" ht="16.5" hidden="1" thickBot="1"/>
    <row r="123" spans="1:8">
      <c r="A123" s="3" t="s">
        <v>70</v>
      </c>
      <c r="B123" s="4" t="s">
        <v>72</v>
      </c>
      <c r="C123" s="4" t="s">
        <v>16</v>
      </c>
      <c r="D123" s="34" t="s">
        <v>155</v>
      </c>
      <c r="E123" s="9" t="s">
        <v>156</v>
      </c>
      <c r="F123" s="10" t="s">
        <v>157</v>
      </c>
    </row>
    <row r="124" spans="1:8">
      <c r="A124" s="122" t="s">
        <v>63</v>
      </c>
      <c r="B124" s="16" t="s">
        <v>68</v>
      </c>
      <c r="C124" s="16">
        <v>11</v>
      </c>
      <c r="D124" s="16">
        <v>11</v>
      </c>
      <c r="E124" s="123">
        <f>D124+D126+D128</f>
        <v>12.333333333333334</v>
      </c>
      <c r="F124" s="124">
        <f>E124/12</f>
        <v>1.0277777777777779</v>
      </c>
    </row>
    <row r="125" spans="1:8">
      <c r="A125" s="122"/>
      <c r="B125" s="125" t="s">
        <v>65</v>
      </c>
      <c r="C125" s="125">
        <v>4</v>
      </c>
      <c r="D125" s="35" t="s">
        <v>158</v>
      </c>
      <c r="E125" s="123"/>
      <c r="F125" s="124"/>
    </row>
    <row r="126" spans="1:8">
      <c r="A126" s="122"/>
      <c r="B126" s="125"/>
      <c r="C126" s="125"/>
      <c r="D126" s="16">
        <f>C125/3</f>
        <v>1.3333333333333333</v>
      </c>
      <c r="E126" s="123"/>
      <c r="F126" s="124"/>
    </row>
    <row r="127" spans="1:8">
      <c r="A127" s="122"/>
      <c r="B127" s="125" t="s">
        <v>69</v>
      </c>
      <c r="C127" s="125">
        <v>25</v>
      </c>
      <c r="D127" s="35" t="s">
        <v>159</v>
      </c>
      <c r="E127" s="123"/>
      <c r="F127" s="124"/>
    </row>
    <row r="128" spans="1:8">
      <c r="A128" s="122"/>
      <c r="B128" s="125"/>
      <c r="C128" s="125"/>
      <c r="D128" s="16">
        <v>0</v>
      </c>
      <c r="E128" s="123"/>
      <c r="F128" s="124"/>
    </row>
    <row r="129" spans="1:8">
      <c r="A129" s="36" t="s">
        <v>70</v>
      </c>
      <c r="B129" s="37" t="s">
        <v>72</v>
      </c>
      <c r="C129" s="37" t="s">
        <v>16</v>
      </c>
      <c r="D129" s="126" t="s">
        <v>160</v>
      </c>
      <c r="E129" s="126"/>
      <c r="F129" s="127"/>
    </row>
    <row r="130" spans="1:8">
      <c r="A130" s="122" t="s">
        <v>62</v>
      </c>
      <c r="B130" s="16" t="s">
        <v>68</v>
      </c>
      <c r="C130" s="16">
        <v>4</v>
      </c>
      <c r="D130" s="129">
        <f>C130/9</f>
        <v>0.44444444444444442</v>
      </c>
      <c r="E130" s="129"/>
      <c r="F130" s="124"/>
    </row>
    <row r="131" spans="1:8" ht="16.5" thickBot="1">
      <c r="A131" s="128"/>
      <c r="B131" s="20" t="s">
        <v>69</v>
      </c>
      <c r="C131" s="20">
        <v>0</v>
      </c>
      <c r="D131" s="130"/>
      <c r="E131" s="130"/>
      <c r="F131" s="131"/>
    </row>
    <row r="133" spans="1:8" ht="16.5" thickBot="1">
      <c r="A133" s="14" t="s">
        <v>22</v>
      </c>
    </row>
    <row r="134" spans="1:8" hidden="1">
      <c r="A134" s="3" t="s">
        <v>58</v>
      </c>
      <c r="B134" s="4" t="s">
        <v>67</v>
      </c>
      <c r="C134" s="4" t="s">
        <v>3</v>
      </c>
      <c r="D134" s="4" t="s">
        <v>57</v>
      </c>
      <c r="E134" s="4" t="s">
        <v>59</v>
      </c>
      <c r="F134" s="4" t="s">
        <v>61</v>
      </c>
      <c r="G134" s="4" t="s">
        <v>60</v>
      </c>
      <c r="H134" s="5" t="s">
        <v>66</v>
      </c>
    </row>
    <row r="135" spans="1:8" ht="31.5" hidden="1">
      <c r="A135" s="28">
        <v>45894</v>
      </c>
      <c r="B135" s="16" t="s">
        <v>91</v>
      </c>
      <c r="C135" s="16" t="s">
        <v>199</v>
      </c>
      <c r="D135" s="16" t="s">
        <v>200</v>
      </c>
      <c r="E135" s="16" t="s">
        <v>40</v>
      </c>
      <c r="F135" s="33" t="s">
        <v>71</v>
      </c>
      <c r="G135" s="17" t="s">
        <v>305</v>
      </c>
      <c r="H135" s="29"/>
    </row>
    <row r="136" spans="1:8" hidden="1">
      <c r="A136" s="28">
        <v>45895</v>
      </c>
      <c r="B136" s="16" t="s">
        <v>75</v>
      </c>
      <c r="C136" s="16" t="s">
        <v>14</v>
      </c>
      <c r="D136" s="16" t="s">
        <v>142</v>
      </c>
      <c r="E136" s="16" t="s">
        <v>41</v>
      </c>
      <c r="F136" s="33" t="s">
        <v>77</v>
      </c>
      <c r="G136" s="17" t="s">
        <v>129</v>
      </c>
      <c r="H136" s="29"/>
    </row>
    <row r="137" spans="1:8" ht="31.5" hidden="1">
      <c r="A137" s="28">
        <v>45896</v>
      </c>
      <c r="B137" s="16" t="s">
        <v>91</v>
      </c>
      <c r="C137" s="16" t="s">
        <v>272</v>
      </c>
      <c r="D137" s="16" t="s">
        <v>273</v>
      </c>
      <c r="E137" s="16" t="s">
        <v>41</v>
      </c>
      <c r="F137" s="33" t="s">
        <v>77</v>
      </c>
      <c r="G137" s="17" t="s">
        <v>274</v>
      </c>
      <c r="H137" s="29"/>
    </row>
    <row r="138" spans="1:8" ht="31.5" hidden="1">
      <c r="A138" s="28">
        <v>45896</v>
      </c>
      <c r="B138" s="16" t="s">
        <v>91</v>
      </c>
      <c r="C138" s="16" t="s">
        <v>275</v>
      </c>
      <c r="D138" s="16" t="s">
        <v>206</v>
      </c>
      <c r="E138" s="16" t="s">
        <v>41</v>
      </c>
      <c r="F138" s="33" t="s">
        <v>77</v>
      </c>
      <c r="G138" s="17" t="s">
        <v>277</v>
      </c>
      <c r="H138" s="29"/>
    </row>
    <row r="139" spans="1:8" ht="31.5" hidden="1">
      <c r="A139" s="28">
        <v>45896</v>
      </c>
      <c r="B139" s="16" t="s">
        <v>91</v>
      </c>
      <c r="C139" s="16" t="s">
        <v>230</v>
      </c>
      <c r="D139" s="16" t="s">
        <v>276</v>
      </c>
      <c r="E139" s="16" t="s">
        <v>41</v>
      </c>
      <c r="F139" s="33" t="s">
        <v>77</v>
      </c>
      <c r="G139" s="17" t="s">
        <v>294</v>
      </c>
      <c r="H139" s="29"/>
    </row>
    <row r="140" spans="1:8" hidden="1">
      <c r="A140" s="28">
        <v>45896</v>
      </c>
      <c r="B140" s="16" t="s">
        <v>91</v>
      </c>
      <c r="C140" s="16" t="s">
        <v>278</v>
      </c>
      <c r="D140" s="16" t="s">
        <v>206</v>
      </c>
      <c r="E140" s="16" t="s">
        <v>41</v>
      </c>
      <c r="F140" s="33" t="s">
        <v>77</v>
      </c>
      <c r="G140" s="16" t="s">
        <v>279</v>
      </c>
      <c r="H140" s="29"/>
    </row>
    <row r="141" spans="1:8" hidden="1">
      <c r="A141" s="28">
        <v>45896</v>
      </c>
      <c r="B141" s="16" t="s">
        <v>91</v>
      </c>
      <c r="C141" s="16" t="s">
        <v>281</v>
      </c>
      <c r="D141" s="16" t="s">
        <v>280</v>
      </c>
      <c r="E141" s="16" t="s">
        <v>41</v>
      </c>
      <c r="F141" s="33" t="s">
        <v>77</v>
      </c>
      <c r="G141" s="16" t="s">
        <v>282</v>
      </c>
      <c r="H141" s="29"/>
    </row>
    <row r="142" spans="1:8" ht="78.75" hidden="1">
      <c r="A142" s="28">
        <v>45896</v>
      </c>
      <c r="B142" s="16" t="s">
        <v>91</v>
      </c>
      <c r="C142" s="16" t="s">
        <v>111</v>
      </c>
      <c r="D142" s="16" t="s">
        <v>283</v>
      </c>
      <c r="E142" s="16" t="s">
        <v>41</v>
      </c>
      <c r="F142" s="33" t="s">
        <v>71</v>
      </c>
      <c r="G142" s="17" t="s">
        <v>284</v>
      </c>
      <c r="H142" s="29"/>
    </row>
    <row r="143" spans="1:8" ht="31.5" hidden="1">
      <c r="A143" s="28">
        <v>45896</v>
      </c>
      <c r="B143" s="16" t="s">
        <v>76</v>
      </c>
      <c r="C143" s="16" t="s">
        <v>295</v>
      </c>
      <c r="D143" s="16" t="s">
        <v>296</v>
      </c>
      <c r="E143" s="16" t="s">
        <v>41</v>
      </c>
      <c r="F143" s="33" t="s">
        <v>77</v>
      </c>
      <c r="G143" s="17" t="s">
        <v>297</v>
      </c>
      <c r="H143" s="29"/>
    </row>
    <row r="144" spans="1:8" hidden="1">
      <c r="A144" s="28">
        <v>45896</v>
      </c>
      <c r="B144" s="16" t="s">
        <v>91</v>
      </c>
      <c r="C144" s="16" t="s">
        <v>285</v>
      </c>
      <c r="D144" s="16" t="s">
        <v>286</v>
      </c>
      <c r="E144" s="16" t="s">
        <v>41</v>
      </c>
      <c r="F144" s="33" t="s">
        <v>77</v>
      </c>
      <c r="G144" s="17" t="s">
        <v>287</v>
      </c>
      <c r="H144" s="29"/>
    </row>
    <row r="145" spans="1:8" hidden="1">
      <c r="A145" s="28">
        <v>45896</v>
      </c>
      <c r="B145" s="16" t="s">
        <v>91</v>
      </c>
      <c r="C145" s="16" t="s">
        <v>228</v>
      </c>
      <c r="D145" s="16" t="s">
        <v>288</v>
      </c>
      <c r="E145" s="16" t="s">
        <v>41</v>
      </c>
      <c r="F145" s="33" t="s">
        <v>77</v>
      </c>
      <c r="G145" s="16" t="s">
        <v>289</v>
      </c>
      <c r="H145" s="29"/>
    </row>
    <row r="146" spans="1:8" hidden="1">
      <c r="A146" s="28">
        <v>45896</v>
      </c>
      <c r="B146" s="16" t="s">
        <v>91</v>
      </c>
      <c r="C146" s="16" t="s">
        <v>290</v>
      </c>
      <c r="D146" s="16" t="s">
        <v>291</v>
      </c>
      <c r="E146" s="16" t="s">
        <v>41</v>
      </c>
      <c r="F146" s="33" t="s">
        <v>77</v>
      </c>
      <c r="G146" s="17" t="s">
        <v>129</v>
      </c>
      <c r="H146" s="29"/>
    </row>
    <row r="147" spans="1:8" hidden="1">
      <c r="A147" s="28">
        <v>45896</v>
      </c>
      <c r="B147" s="16" t="s">
        <v>91</v>
      </c>
      <c r="C147" s="16" t="s">
        <v>290</v>
      </c>
      <c r="D147" s="16" t="s">
        <v>292</v>
      </c>
      <c r="E147" s="16" t="s">
        <v>41</v>
      </c>
      <c r="F147" s="33" t="s">
        <v>77</v>
      </c>
      <c r="G147" s="16" t="s">
        <v>293</v>
      </c>
      <c r="H147" s="29"/>
    </row>
    <row r="148" spans="1:8" ht="63" hidden="1">
      <c r="A148" s="28">
        <v>45896</v>
      </c>
      <c r="B148" s="16" t="s">
        <v>75</v>
      </c>
      <c r="C148" s="16" t="s">
        <v>14</v>
      </c>
      <c r="D148" s="16" t="s">
        <v>142</v>
      </c>
      <c r="E148" s="16" t="s">
        <v>41</v>
      </c>
      <c r="F148" s="33" t="s">
        <v>71</v>
      </c>
      <c r="G148" s="17" t="s">
        <v>309</v>
      </c>
      <c r="H148" s="29"/>
    </row>
    <row r="149" spans="1:8" hidden="1">
      <c r="A149" s="28">
        <v>45896</v>
      </c>
      <c r="B149" s="16" t="s">
        <v>75</v>
      </c>
      <c r="C149" s="16" t="s">
        <v>15</v>
      </c>
      <c r="D149" s="16" t="s">
        <v>302</v>
      </c>
      <c r="E149" s="16" t="s">
        <v>41</v>
      </c>
      <c r="F149" s="33" t="s">
        <v>77</v>
      </c>
      <c r="G149" s="16" t="s">
        <v>304</v>
      </c>
      <c r="H149" s="29"/>
    </row>
    <row r="150" spans="1:8" hidden="1">
      <c r="A150" s="28">
        <v>45896</v>
      </c>
      <c r="B150" s="16" t="s">
        <v>91</v>
      </c>
      <c r="C150" s="16" t="s">
        <v>298</v>
      </c>
      <c r="D150" s="16" t="s">
        <v>299</v>
      </c>
      <c r="E150" s="16" t="s">
        <v>41</v>
      </c>
      <c r="F150" s="33" t="s">
        <v>77</v>
      </c>
      <c r="G150" s="17" t="s">
        <v>311</v>
      </c>
      <c r="H150" s="29"/>
    </row>
    <row r="151" spans="1:8" ht="31.5" hidden="1">
      <c r="A151" s="28">
        <v>45896</v>
      </c>
      <c r="B151" s="16" t="s">
        <v>91</v>
      </c>
      <c r="C151" s="16" t="s">
        <v>300</v>
      </c>
      <c r="D151" s="16" t="s">
        <v>301</v>
      </c>
      <c r="E151" s="16" t="s">
        <v>41</v>
      </c>
      <c r="F151" s="33" t="s">
        <v>71</v>
      </c>
      <c r="G151" s="17" t="s">
        <v>306</v>
      </c>
      <c r="H151" s="29"/>
    </row>
    <row r="152" spans="1:8" hidden="1">
      <c r="A152" s="28">
        <v>45896</v>
      </c>
      <c r="B152" s="16" t="s">
        <v>75</v>
      </c>
      <c r="C152" s="16" t="s">
        <v>42</v>
      </c>
      <c r="D152" s="16" t="s">
        <v>263</v>
      </c>
      <c r="E152" s="16" t="s">
        <v>41</v>
      </c>
      <c r="F152" s="33" t="s">
        <v>77</v>
      </c>
      <c r="G152" s="17" t="s">
        <v>303</v>
      </c>
      <c r="H152" s="29"/>
    </row>
    <row r="153" spans="1:8" hidden="1">
      <c r="A153" s="28">
        <v>45896</v>
      </c>
      <c r="B153" s="16" t="s">
        <v>75</v>
      </c>
      <c r="C153" s="16" t="s">
        <v>15</v>
      </c>
      <c r="D153" s="16" t="s">
        <v>307</v>
      </c>
      <c r="E153" s="16" t="s">
        <v>41</v>
      </c>
      <c r="F153" s="33" t="s">
        <v>64</v>
      </c>
      <c r="G153" s="17" t="s">
        <v>308</v>
      </c>
      <c r="H153" s="29"/>
    </row>
    <row r="154" spans="1:8" hidden="1">
      <c r="A154" s="28">
        <v>45897</v>
      </c>
      <c r="B154" s="16" t="s">
        <v>75</v>
      </c>
      <c r="C154" s="16" t="s">
        <v>15</v>
      </c>
      <c r="D154" s="16" t="s">
        <v>307</v>
      </c>
      <c r="E154" s="16" t="s">
        <v>40</v>
      </c>
      <c r="F154" s="33" t="s">
        <v>71</v>
      </c>
      <c r="G154" s="16" t="s">
        <v>321</v>
      </c>
      <c r="H154" s="29"/>
    </row>
    <row r="155" spans="1:8" hidden="1">
      <c r="A155" s="28">
        <v>45898</v>
      </c>
      <c r="B155" s="16" t="s">
        <v>91</v>
      </c>
      <c r="C155" s="16" t="s">
        <v>252</v>
      </c>
      <c r="D155" s="16" t="s">
        <v>253</v>
      </c>
      <c r="E155" s="16" t="s">
        <v>41</v>
      </c>
      <c r="F155" s="33" t="s">
        <v>71</v>
      </c>
      <c r="G155" s="17" t="s">
        <v>310</v>
      </c>
      <c r="H155" s="29"/>
    </row>
    <row r="156" spans="1:8" hidden="1">
      <c r="A156" s="28">
        <v>45898</v>
      </c>
      <c r="B156" s="16" t="s">
        <v>75</v>
      </c>
      <c r="C156" s="16" t="s">
        <v>15</v>
      </c>
      <c r="D156" s="16" t="s">
        <v>134</v>
      </c>
      <c r="E156" s="16" t="s">
        <v>40</v>
      </c>
      <c r="F156" s="33" t="s">
        <v>71</v>
      </c>
      <c r="G156" s="17" t="s">
        <v>322</v>
      </c>
      <c r="H156" s="29"/>
    </row>
    <row r="157" spans="1:8" hidden="1">
      <c r="A157" s="28">
        <v>45898</v>
      </c>
      <c r="B157" s="16" t="s">
        <v>91</v>
      </c>
      <c r="C157" s="16" t="s">
        <v>298</v>
      </c>
      <c r="D157" s="16" t="s">
        <v>299</v>
      </c>
      <c r="E157" s="16" t="s">
        <v>41</v>
      </c>
      <c r="F157" s="33" t="s">
        <v>77</v>
      </c>
      <c r="G157" s="17" t="s">
        <v>312</v>
      </c>
      <c r="H157" s="29"/>
    </row>
    <row r="158" spans="1:8" hidden="1">
      <c r="A158" s="28">
        <v>45898</v>
      </c>
      <c r="B158" s="16" t="s">
        <v>91</v>
      </c>
      <c r="C158" s="16" t="s">
        <v>313</v>
      </c>
      <c r="D158" s="16" t="s">
        <v>314</v>
      </c>
      <c r="E158" s="16" t="s">
        <v>41</v>
      </c>
      <c r="F158" s="33" t="s">
        <v>71</v>
      </c>
      <c r="G158" s="17" t="s">
        <v>316</v>
      </c>
      <c r="H158" s="29"/>
    </row>
    <row r="159" spans="1:8" hidden="1">
      <c r="A159" s="28">
        <v>45898</v>
      </c>
      <c r="B159" s="16" t="s">
        <v>91</v>
      </c>
      <c r="C159" s="16" t="s">
        <v>313</v>
      </c>
      <c r="D159" s="16" t="s">
        <v>315</v>
      </c>
      <c r="E159" s="16" t="s">
        <v>41</v>
      </c>
      <c r="F159" s="33" t="s">
        <v>71</v>
      </c>
      <c r="G159" s="17" t="s">
        <v>317</v>
      </c>
      <c r="H159" s="29"/>
    </row>
    <row r="160" spans="1:8" hidden="1">
      <c r="A160" s="28">
        <v>45898</v>
      </c>
      <c r="B160" s="16" t="s">
        <v>91</v>
      </c>
      <c r="C160" s="16" t="s">
        <v>318</v>
      </c>
      <c r="D160" s="16" t="s">
        <v>319</v>
      </c>
      <c r="E160" s="16" t="s">
        <v>41</v>
      </c>
      <c r="F160" s="33" t="s">
        <v>77</v>
      </c>
      <c r="G160" s="16" t="s">
        <v>320</v>
      </c>
      <c r="H160" s="29"/>
    </row>
    <row r="161" spans="1:8" hidden="1">
      <c r="A161" s="28">
        <v>45898</v>
      </c>
      <c r="B161" s="16" t="s">
        <v>75</v>
      </c>
      <c r="C161" s="16" t="s">
        <v>74</v>
      </c>
      <c r="D161" s="16" t="s">
        <v>104</v>
      </c>
      <c r="E161" s="16" t="s">
        <v>41</v>
      </c>
      <c r="F161" s="33" t="s">
        <v>77</v>
      </c>
      <c r="G161" s="16" t="s">
        <v>323</v>
      </c>
      <c r="H161" s="29"/>
    </row>
    <row r="162" spans="1:8" hidden="1">
      <c r="A162" s="28">
        <v>45898</v>
      </c>
      <c r="B162" s="16" t="s">
        <v>75</v>
      </c>
      <c r="C162" s="16" t="s">
        <v>42</v>
      </c>
      <c r="D162" s="16" t="s">
        <v>263</v>
      </c>
      <c r="E162" s="16" t="s">
        <v>41</v>
      </c>
      <c r="F162" s="33" t="s">
        <v>77</v>
      </c>
      <c r="G162" s="16" t="s">
        <v>324</v>
      </c>
      <c r="H162" s="29"/>
    </row>
    <row r="163" spans="1:8" hidden="1">
      <c r="A163" s="28">
        <v>45898</v>
      </c>
      <c r="B163" s="16" t="s">
        <v>91</v>
      </c>
      <c r="C163" s="16" t="s">
        <v>300</v>
      </c>
      <c r="D163" s="16" t="s">
        <v>301</v>
      </c>
      <c r="E163" s="16" t="s">
        <v>41</v>
      </c>
      <c r="F163" s="33" t="s">
        <v>77</v>
      </c>
      <c r="G163" s="16" t="s">
        <v>129</v>
      </c>
      <c r="H163" s="29"/>
    </row>
    <row r="164" spans="1:8" hidden="1">
      <c r="A164" s="28">
        <v>45898</v>
      </c>
      <c r="B164" s="16" t="s">
        <v>91</v>
      </c>
      <c r="C164" s="16" t="s">
        <v>199</v>
      </c>
      <c r="D164" s="16" t="s">
        <v>200</v>
      </c>
      <c r="E164" s="16" t="s">
        <v>41</v>
      </c>
      <c r="F164" s="33" t="s">
        <v>77</v>
      </c>
      <c r="G164" s="16" t="s">
        <v>129</v>
      </c>
      <c r="H164" s="29"/>
    </row>
    <row r="165" spans="1:8" ht="16.5" hidden="1" thickBot="1">
      <c r="A165" s="31"/>
      <c r="B165" s="20"/>
      <c r="C165" s="20"/>
      <c r="D165" s="20"/>
      <c r="E165" s="20"/>
      <c r="F165" s="20"/>
      <c r="G165" s="20"/>
      <c r="H165" s="30"/>
    </row>
    <row r="166" spans="1:8" ht="16.5" hidden="1" thickBot="1"/>
    <row r="167" spans="1:8">
      <c r="A167" s="3" t="s">
        <v>70</v>
      </c>
      <c r="B167" s="4" t="s">
        <v>72</v>
      </c>
      <c r="C167" s="4" t="s">
        <v>16</v>
      </c>
      <c r="D167" s="34" t="s">
        <v>155</v>
      </c>
      <c r="E167" s="9" t="s">
        <v>156</v>
      </c>
      <c r="F167" s="10" t="s">
        <v>157</v>
      </c>
    </row>
    <row r="168" spans="1:8">
      <c r="A168" s="122" t="s">
        <v>63</v>
      </c>
      <c r="B168" s="16" t="s">
        <v>68</v>
      </c>
      <c r="C168" s="16">
        <v>6</v>
      </c>
      <c r="D168" s="16">
        <v>6</v>
      </c>
      <c r="E168" s="123">
        <f>D168+D170+D172</f>
        <v>6.333333333333333</v>
      </c>
      <c r="F168" s="124">
        <f>E168/12</f>
        <v>0.52777777777777779</v>
      </c>
    </row>
    <row r="169" spans="1:8">
      <c r="A169" s="122"/>
      <c r="B169" s="125" t="s">
        <v>65</v>
      </c>
      <c r="C169" s="125">
        <v>1</v>
      </c>
      <c r="D169" s="35" t="s">
        <v>158</v>
      </c>
      <c r="E169" s="123"/>
      <c r="F169" s="124"/>
    </row>
    <row r="170" spans="1:8">
      <c r="A170" s="122"/>
      <c r="B170" s="125"/>
      <c r="C170" s="125"/>
      <c r="D170" s="16">
        <f>C169/3</f>
        <v>0.33333333333333331</v>
      </c>
      <c r="E170" s="123"/>
      <c r="F170" s="124"/>
    </row>
    <row r="171" spans="1:8">
      <c r="A171" s="122"/>
      <c r="B171" s="125" t="s">
        <v>69</v>
      </c>
      <c r="C171" s="125">
        <v>20</v>
      </c>
      <c r="D171" s="35" t="s">
        <v>159</v>
      </c>
      <c r="E171" s="123"/>
      <c r="F171" s="124"/>
    </row>
    <row r="172" spans="1:8">
      <c r="A172" s="122"/>
      <c r="B172" s="125"/>
      <c r="C172" s="125"/>
      <c r="D172" s="16">
        <v>0</v>
      </c>
      <c r="E172" s="123"/>
      <c r="F172" s="124"/>
    </row>
    <row r="173" spans="1:8">
      <c r="A173" s="36" t="s">
        <v>70</v>
      </c>
      <c r="B173" s="37" t="s">
        <v>72</v>
      </c>
      <c r="C173" s="37" t="s">
        <v>16</v>
      </c>
      <c r="D173" s="126" t="s">
        <v>160</v>
      </c>
      <c r="E173" s="126"/>
      <c r="F173" s="127"/>
    </row>
    <row r="174" spans="1:8">
      <c r="A174" s="122" t="s">
        <v>62</v>
      </c>
      <c r="B174" s="16" t="s">
        <v>68</v>
      </c>
      <c r="C174" s="16">
        <v>3</v>
      </c>
      <c r="D174" s="129">
        <f>C174/9</f>
        <v>0.33333333333333331</v>
      </c>
      <c r="E174" s="129"/>
      <c r="F174" s="124"/>
    </row>
    <row r="175" spans="1:8" ht="16.5" thickBot="1">
      <c r="A175" s="128"/>
      <c r="B175" s="20" t="s">
        <v>69</v>
      </c>
      <c r="C175" s="20">
        <v>0</v>
      </c>
      <c r="D175" s="130"/>
      <c r="E175" s="130"/>
      <c r="F175" s="131"/>
    </row>
    <row r="177" spans="1:8" ht="16.5" thickBot="1">
      <c r="A177" s="14" t="s">
        <v>24</v>
      </c>
    </row>
    <row r="178" spans="1:8" hidden="1">
      <c r="A178" s="3" t="s">
        <v>58</v>
      </c>
      <c r="B178" s="4" t="s">
        <v>67</v>
      </c>
      <c r="C178" s="4" t="s">
        <v>3</v>
      </c>
      <c r="D178" s="4" t="s">
        <v>57</v>
      </c>
      <c r="E178" s="4" t="s">
        <v>59</v>
      </c>
      <c r="F178" s="4" t="s">
        <v>61</v>
      </c>
      <c r="G178" s="4" t="s">
        <v>60</v>
      </c>
      <c r="H178" s="5" t="s">
        <v>66</v>
      </c>
    </row>
    <row r="179" spans="1:8" hidden="1">
      <c r="A179" s="28">
        <v>45902</v>
      </c>
      <c r="B179" s="16" t="s">
        <v>75</v>
      </c>
      <c r="C179" s="16" t="s">
        <v>15</v>
      </c>
      <c r="D179" s="16" t="s">
        <v>328</v>
      </c>
      <c r="E179" s="16" t="s">
        <v>41</v>
      </c>
      <c r="F179" s="33" t="s">
        <v>71</v>
      </c>
      <c r="G179" s="17" t="s">
        <v>332</v>
      </c>
      <c r="H179" s="29"/>
    </row>
    <row r="180" spans="1:8" hidden="1">
      <c r="A180" s="28">
        <v>45902</v>
      </c>
      <c r="B180" s="16" t="s">
        <v>91</v>
      </c>
      <c r="C180" s="16" t="s">
        <v>228</v>
      </c>
      <c r="D180" s="16" t="s">
        <v>288</v>
      </c>
      <c r="E180" s="16" t="s">
        <v>41</v>
      </c>
      <c r="F180" s="33" t="s">
        <v>77</v>
      </c>
      <c r="G180" s="17" t="s">
        <v>129</v>
      </c>
      <c r="H180" s="29"/>
    </row>
    <row r="181" spans="1:8" hidden="1">
      <c r="A181" s="28">
        <v>45902</v>
      </c>
      <c r="B181" s="16" t="s">
        <v>91</v>
      </c>
      <c r="C181" s="16" t="s">
        <v>329</v>
      </c>
      <c r="D181" s="16" t="s">
        <v>330</v>
      </c>
      <c r="E181" s="16" t="s">
        <v>41</v>
      </c>
      <c r="F181" s="33" t="s">
        <v>77</v>
      </c>
      <c r="G181" s="17" t="s">
        <v>352</v>
      </c>
      <c r="H181" s="29"/>
    </row>
    <row r="182" spans="1:8" hidden="1">
      <c r="A182" s="28">
        <v>45903</v>
      </c>
      <c r="B182" s="16" t="s">
        <v>75</v>
      </c>
      <c r="C182" s="16" t="s">
        <v>15</v>
      </c>
      <c r="D182" s="16" t="s">
        <v>132</v>
      </c>
      <c r="E182" s="16" t="s">
        <v>41</v>
      </c>
      <c r="F182" s="33" t="s">
        <v>77</v>
      </c>
      <c r="G182" s="17" t="s">
        <v>331</v>
      </c>
      <c r="H182" s="29"/>
    </row>
    <row r="183" spans="1:8" hidden="1">
      <c r="A183" s="28">
        <v>45903</v>
      </c>
      <c r="B183" s="16" t="s">
        <v>75</v>
      </c>
      <c r="C183" s="16" t="s">
        <v>333</v>
      </c>
      <c r="D183" s="16" t="s">
        <v>334</v>
      </c>
      <c r="E183" s="16" t="s">
        <v>41</v>
      </c>
      <c r="F183" s="33" t="s">
        <v>71</v>
      </c>
      <c r="G183" s="17" t="s">
        <v>335</v>
      </c>
      <c r="H183" s="29"/>
    </row>
    <row r="184" spans="1:8" ht="31.5" hidden="1">
      <c r="A184" s="28">
        <v>45903</v>
      </c>
      <c r="B184" s="16" t="s">
        <v>75</v>
      </c>
      <c r="C184" s="16" t="s">
        <v>336</v>
      </c>
      <c r="D184" s="16" t="s">
        <v>337</v>
      </c>
      <c r="E184" s="16" t="s">
        <v>41</v>
      </c>
      <c r="F184" s="33" t="s">
        <v>77</v>
      </c>
      <c r="G184" s="17" t="s">
        <v>338</v>
      </c>
      <c r="H184" s="29"/>
    </row>
    <row r="185" spans="1:8" hidden="1">
      <c r="A185" s="28">
        <v>45903</v>
      </c>
      <c r="B185" s="16" t="s">
        <v>91</v>
      </c>
      <c r="C185" s="16" t="s">
        <v>339</v>
      </c>
      <c r="D185" s="16" t="s">
        <v>340</v>
      </c>
      <c r="E185" s="16" t="s">
        <v>41</v>
      </c>
      <c r="F185" s="33" t="s">
        <v>77</v>
      </c>
      <c r="G185" s="16" t="s">
        <v>341</v>
      </c>
      <c r="H185" s="29"/>
    </row>
    <row r="186" spans="1:8" hidden="1">
      <c r="A186" s="28">
        <v>45903</v>
      </c>
      <c r="B186" s="16" t="s">
        <v>91</v>
      </c>
      <c r="C186" s="16" t="s">
        <v>342</v>
      </c>
      <c r="D186" s="16" t="s">
        <v>206</v>
      </c>
      <c r="E186" s="16" t="s">
        <v>41</v>
      </c>
      <c r="F186" s="33" t="s">
        <v>77</v>
      </c>
      <c r="G186" s="17" t="s">
        <v>343</v>
      </c>
      <c r="H186" s="29"/>
    </row>
    <row r="187" spans="1:8" hidden="1">
      <c r="A187" s="28">
        <v>45903</v>
      </c>
      <c r="B187" s="16" t="s">
        <v>91</v>
      </c>
      <c r="C187" s="16" t="s">
        <v>344</v>
      </c>
      <c r="D187" s="16" t="s">
        <v>347</v>
      </c>
      <c r="E187" s="16" t="s">
        <v>41</v>
      </c>
      <c r="F187" s="33" t="s">
        <v>77</v>
      </c>
      <c r="G187" s="17" t="s">
        <v>345</v>
      </c>
      <c r="H187" s="29"/>
    </row>
    <row r="188" spans="1:8" hidden="1">
      <c r="A188" s="28">
        <v>45903</v>
      </c>
      <c r="B188" s="16" t="s">
        <v>91</v>
      </c>
      <c r="C188" s="16" t="s">
        <v>285</v>
      </c>
      <c r="D188" s="16" t="s">
        <v>346</v>
      </c>
      <c r="E188" s="16" t="s">
        <v>41</v>
      </c>
      <c r="F188" s="33" t="s">
        <v>64</v>
      </c>
      <c r="G188" s="17"/>
      <c r="H188" s="29"/>
    </row>
    <row r="189" spans="1:8" ht="31.5" hidden="1">
      <c r="A189" s="28">
        <v>45903</v>
      </c>
      <c r="B189" s="16" t="s">
        <v>75</v>
      </c>
      <c r="C189" s="16" t="s">
        <v>349</v>
      </c>
      <c r="D189" s="16" t="s">
        <v>350</v>
      </c>
      <c r="E189" s="16" t="s">
        <v>41</v>
      </c>
      <c r="F189" s="33" t="s">
        <v>77</v>
      </c>
      <c r="G189" s="17" t="s">
        <v>353</v>
      </c>
      <c r="H189" s="29"/>
    </row>
    <row r="190" spans="1:8" hidden="1">
      <c r="A190" s="28">
        <v>45903</v>
      </c>
      <c r="B190" s="16" t="s">
        <v>91</v>
      </c>
      <c r="C190" s="16" t="s">
        <v>351</v>
      </c>
      <c r="D190" s="16" t="s">
        <v>354</v>
      </c>
      <c r="E190" s="16" t="s">
        <v>40</v>
      </c>
      <c r="F190" s="33" t="s">
        <v>77</v>
      </c>
      <c r="G190" s="16" t="s">
        <v>383</v>
      </c>
      <c r="H190" s="29"/>
    </row>
    <row r="191" spans="1:8" hidden="1">
      <c r="A191" s="28">
        <v>45903</v>
      </c>
      <c r="B191" s="16" t="s">
        <v>91</v>
      </c>
      <c r="C191" s="16" t="s">
        <v>285</v>
      </c>
      <c r="D191" s="16" t="s">
        <v>346</v>
      </c>
      <c r="E191" s="16" t="s">
        <v>40</v>
      </c>
      <c r="F191" s="33" t="s">
        <v>77</v>
      </c>
      <c r="G191" s="17" t="s">
        <v>382</v>
      </c>
      <c r="H191" s="29"/>
    </row>
    <row r="192" spans="1:8" hidden="1">
      <c r="A192" s="28">
        <v>45904</v>
      </c>
      <c r="B192" s="16" t="s">
        <v>75</v>
      </c>
      <c r="C192" s="16" t="s">
        <v>336</v>
      </c>
      <c r="D192" s="16" t="s">
        <v>355</v>
      </c>
      <c r="E192" s="16" t="s">
        <v>41</v>
      </c>
      <c r="F192" s="33" t="s">
        <v>77</v>
      </c>
      <c r="G192" s="16" t="s">
        <v>356</v>
      </c>
      <c r="H192" s="29"/>
    </row>
    <row r="193" spans="1:8" ht="31.5" hidden="1">
      <c r="A193" s="28">
        <v>45904</v>
      </c>
      <c r="B193" s="16" t="s">
        <v>75</v>
      </c>
      <c r="C193" s="16" t="s">
        <v>357</v>
      </c>
      <c r="D193" s="16" t="s">
        <v>358</v>
      </c>
      <c r="E193" s="16" t="s">
        <v>41</v>
      </c>
      <c r="F193" s="33" t="s">
        <v>71</v>
      </c>
      <c r="G193" s="17" t="s">
        <v>384</v>
      </c>
      <c r="H193" s="29"/>
    </row>
    <row r="194" spans="1:8" hidden="1">
      <c r="A194" s="28">
        <v>45904</v>
      </c>
      <c r="B194" s="16" t="s">
        <v>75</v>
      </c>
      <c r="C194" s="16" t="s">
        <v>357</v>
      </c>
      <c r="D194" s="16" t="s">
        <v>359</v>
      </c>
      <c r="E194" s="16" t="s">
        <v>41</v>
      </c>
      <c r="F194" s="33" t="s">
        <v>77</v>
      </c>
      <c r="G194" s="17" t="s">
        <v>385</v>
      </c>
      <c r="H194" s="29"/>
    </row>
    <row r="195" spans="1:8" hidden="1">
      <c r="A195" s="28">
        <v>45904</v>
      </c>
      <c r="B195" s="16" t="s">
        <v>75</v>
      </c>
      <c r="C195" s="16" t="s">
        <v>336</v>
      </c>
      <c r="D195" s="16" t="s">
        <v>361</v>
      </c>
      <c r="E195" s="16" t="s">
        <v>41</v>
      </c>
      <c r="F195" s="33" t="s">
        <v>77</v>
      </c>
      <c r="G195" s="17" t="s">
        <v>386</v>
      </c>
      <c r="H195" s="29"/>
    </row>
    <row r="196" spans="1:8" ht="31.5" hidden="1">
      <c r="A196" s="28">
        <v>45904</v>
      </c>
      <c r="B196" s="16" t="s">
        <v>75</v>
      </c>
      <c r="C196" s="16" t="s">
        <v>348</v>
      </c>
      <c r="D196" s="16" t="s">
        <v>387</v>
      </c>
      <c r="E196" s="16" t="s">
        <v>41</v>
      </c>
      <c r="F196" s="33" t="s">
        <v>77</v>
      </c>
      <c r="G196" s="17" t="s">
        <v>388</v>
      </c>
      <c r="H196" s="29"/>
    </row>
    <row r="197" spans="1:8" hidden="1">
      <c r="A197" s="28">
        <v>45904</v>
      </c>
      <c r="B197" s="16" t="s">
        <v>75</v>
      </c>
      <c r="C197" s="16" t="s">
        <v>348</v>
      </c>
      <c r="D197" s="16" t="s">
        <v>360</v>
      </c>
      <c r="E197" s="16" t="s">
        <v>41</v>
      </c>
      <c r="F197" s="33" t="s">
        <v>77</v>
      </c>
      <c r="G197" s="17" t="s">
        <v>389</v>
      </c>
      <c r="H197" s="29"/>
    </row>
    <row r="198" spans="1:8" hidden="1">
      <c r="A198" s="28">
        <v>45904</v>
      </c>
      <c r="B198" s="16" t="s">
        <v>197</v>
      </c>
      <c r="C198" s="16" t="s">
        <v>362</v>
      </c>
      <c r="D198" s="16" t="s">
        <v>363</v>
      </c>
      <c r="E198" s="16" t="s">
        <v>41</v>
      </c>
      <c r="F198" s="33" t="s">
        <v>64</v>
      </c>
      <c r="G198" s="17" t="s">
        <v>390</v>
      </c>
      <c r="H198" s="29"/>
    </row>
    <row r="199" spans="1:8" hidden="1">
      <c r="A199" s="28">
        <v>45904</v>
      </c>
      <c r="B199" s="16" t="s">
        <v>75</v>
      </c>
      <c r="C199" s="16" t="s">
        <v>364</v>
      </c>
      <c r="D199" s="16" t="s">
        <v>365</v>
      </c>
      <c r="E199" s="16" t="s">
        <v>41</v>
      </c>
      <c r="F199" s="33" t="s">
        <v>77</v>
      </c>
      <c r="G199" s="16" t="s">
        <v>129</v>
      </c>
      <c r="H199" s="29"/>
    </row>
    <row r="200" spans="1:8" hidden="1">
      <c r="A200" s="28">
        <v>45905</v>
      </c>
      <c r="B200" s="16" t="s">
        <v>75</v>
      </c>
      <c r="C200" s="16" t="s">
        <v>366</v>
      </c>
      <c r="D200" s="16" t="s">
        <v>367</v>
      </c>
      <c r="E200" s="16" t="s">
        <v>41</v>
      </c>
      <c r="F200" s="33" t="s">
        <v>71</v>
      </c>
      <c r="G200" s="17" t="s">
        <v>368</v>
      </c>
      <c r="H200" s="29"/>
    </row>
    <row r="201" spans="1:8" hidden="1">
      <c r="A201" s="28">
        <v>45905</v>
      </c>
      <c r="B201" s="16" t="s">
        <v>75</v>
      </c>
      <c r="C201" s="16" t="s">
        <v>336</v>
      </c>
      <c r="D201" s="16" t="s">
        <v>355</v>
      </c>
      <c r="E201" s="16" t="s">
        <v>41</v>
      </c>
      <c r="F201" s="33" t="s">
        <v>71</v>
      </c>
      <c r="G201" s="17" t="s">
        <v>372</v>
      </c>
      <c r="H201" s="29"/>
    </row>
    <row r="202" spans="1:8" hidden="1">
      <c r="A202" s="28">
        <v>45905</v>
      </c>
      <c r="B202" s="16" t="s">
        <v>197</v>
      </c>
      <c r="C202" s="16" t="s">
        <v>42</v>
      </c>
      <c r="D202" s="16" t="s">
        <v>376</v>
      </c>
      <c r="E202" s="16" t="s">
        <v>41</v>
      </c>
      <c r="F202" s="33" t="s">
        <v>77</v>
      </c>
      <c r="G202" s="17" t="s">
        <v>391</v>
      </c>
      <c r="H202" s="29"/>
    </row>
    <row r="203" spans="1:8" hidden="1">
      <c r="A203" s="28">
        <v>45905</v>
      </c>
      <c r="B203" s="16" t="s">
        <v>75</v>
      </c>
      <c r="C203" s="16" t="s">
        <v>364</v>
      </c>
      <c r="D203" s="16" t="s">
        <v>365</v>
      </c>
      <c r="E203" s="16" t="s">
        <v>41</v>
      </c>
      <c r="F203" s="33" t="s">
        <v>77</v>
      </c>
      <c r="G203" s="17" t="s">
        <v>392</v>
      </c>
      <c r="H203" s="29"/>
    </row>
    <row r="204" spans="1:8" hidden="1">
      <c r="A204" s="28">
        <v>45905</v>
      </c>
      <c r="B204" s="16" t="s">
        <v>75</v>
      </c>
      <c r="C204" s="16" t="s">
        <v>357</v>
      </c>
      <c r="D204" s="16" t="s">
        <v>377</v>
      </c>
      <c r="E204" s="16" t="s">
        <v>41</v>
      </c>
      <c r="F204" s="33" t="s">
        <v>77</v>
      </c>
      <c r="G204" s="17" t="s">
        <v>393</v>
      </c>
      <c r="H204" s="29"/>
    </row>
    <row r="205" spans="1:8" hidden="1">
      <c r="A205" s="28">
        <v>45905</v>
      </c>
      <c r="B205" s="16" t="s">
        <v>75</v>
      </c>
      <c r="C205" s="16" t="s">
        <v>369</v>
      </c>
      <c r="D205" s="16" t="s">
        <v>378</v>
      </c>
      <c r="E205" s="16" t="s">
        <v>41</v>
      </c>
      <c r="F205" s="33" t="s">
        <v>77</v>
      </c>
      <c r="G205" s="16" t="s">
        <v>394</v>
      </c>
      <c r="H205" s="29"/>
    </row>
    <row r="206" spans="1:8" hidden="1">
      <c r="A206" s="28">
        <v>45905</v>
      </c>
      <c r="B206" s="16" t="s">
        <v>75</v>
      </c>
      <c r="C206" s="16" t="s">
        <v>370</v>
      </c>
      <c r="D206" s="16" t="s">
        <v>379</v>
      </c>
      <c r="E206" s="16" t="s">
        <v>41</v>
      </c>
      <c r="F206" s="33" t="s">
        <v>71</v>
      </c>
      <c r="G206" s="16" t="s">
        <v>395</v>
      </c>
      <c r="H206" s="29"/>
    </row>
    <row r="207" spans="1:8" hidden="1">
      <c r="A207" s="28">
        <v>45905</v>
      </c>
      <c r="B207" s="16" t="s">
        <v>75</v>
      </c>
      <c r="C207" s="16" t="s">
        <v>371</v>
      </c>
      <c r="D207" s="16" t="s">
        <v>380</v>
      </c>
      <c r="E207" s="16" t="s">
        <v>41</v>
      </c>
      <c r="F207" s="33" t="s">
        <v>77</v>
      </c>
      <c r="G207" s="16" t="s">
        <v>396</v>
      </c>
      <c r="H207" s="29"/>
    </row>
    <row r="208" spans="1:8" hidden="1">
      <c r="A208" s="28">
        <v>45905</v>
      </c>
      <c r="B208" s="16" t="s">
        <v>75</v>
      </c>
      <c r="C208" s="16" t="s">
        <v>49</v>
      </c>
      <c r="D208" s="16" t="s">
        <v>373</v>
      </c>
      <c r="E208" s="16" t="s">
        <v>41</v>
      </c>
      <c r="F208" s="33" t="s">
        <v>77</v>
      </c>
      <c r="G208" s="16" t="s">
        <v>397</v>
      </c>
      <c r="H208" s="29"/>
    </row>
    <row r="209" spans="1:8" hidden="1">
      <c r="A209" s="28">
        <v>45905</v>
      </c>
      <c r="B209" s="16" t="s">
        <v>75</v>
      </c>
      <c r="C209" s="16" t="s">
        <v>374</v>
      </c>
      <c r="D209" s="16" t="s">
        <v>381</v>
      </c>
      <c r="E209" s="16" t="s">
        <v>41</v>
      </c>
      <c r="F209" s="33" t="s">
        <v>64</v>
      </c>
      <c r="G209" s="16" t="s">
        <v>398</v>
      </c>
      <c r="H209" s="29"/>
    </row>
    <row r="210" spans="1:8" hidden="1">
      <c r="A210" s="28">
        <v>45905</v>
      </c>
      <c r="B210" s="16" t="s">
        <v>75</v>
      </c>
      <c r="C210" s="16" t="s">
        <v>49</v>
      </c>
      <c r="D210" s="16" t="s">
        <v>375</v>
      </c>
      <c r="E210" s="16" t="s">
        <v>41</v>
      </c>
      <c r="F210" s="33" t="s">
        <v>77</v>
      </c>
      <c r="G210" s="16" t="s">
        <v>399</v>
      </c>
      <c r="H210" s="29"/>
    </row>
    <row r="211" spans="1:8" ht="16.5" hidden="1" thickBot="1">
      <c r="A211" s="31"/>
      <c r="B211" s="20"/>
      <c r="C211" s="20"/>
      <c r="D211" s="20"/>
      <c r="E211" s="20"/>
      <c r="F211" s="20"/>
      <c r="G211" s="20"/>
      <c r="H211" s="30"/>
    </row>
    <row r="212" spans="1:8" ht="16.5" hidden="1" thickBot="1"/>
    <row r="213" spans="1:8">
      <c r="A213" s="3" t="s">
        <v>70</v>
      </c>
      <c r="B213" s="4" t="s">
        <v>72</v>
      </c>
      <c r="C213" s="4" t="s">
        <v>16</v>
      </c>
      <c r="D213" s="34" t="s">
        <v>155</v>
      </c>
      <c r="E213" s="9" t="s">
        <v>156</v>
      </c>
      <c r="F213" s="10" t="s">
        <v>157</v>
      </c>
    </row>
    <row r="214" spans="1:8">
      <c r="A214" s="122" t="s">
        <v>63</v>
      </c>
      <c r="B214" s="16" t="s">
        <v>68</v>
      </c>
      <c r="C214" s="16">
        <v>6</v>
      </c>
      <c r="D214" s="16">
        <v>6</v>
      </c>
      <c r="E214" s="123">
        <f>D214+D216+D218</f>
        <v>7</v>
      </c>
      <c r="F214" s="124">
        <f>E214/12</f>
        <v>0.58333333333333337</v>
      </c>
    </row>
    <row r="215" spans="1:8">
      <c r="A215" s="122"/>
      <c r="B215" s="125" t="s">
        <v>65</v>
      </c>
      <c r="C215" s="125">
        <v>3</v>
      </c>
      <c r="D215" s="35" t="s">
        <v>158</v>
      </c>
      <c r="E215" s="123"/>
      <c r="F215" s="124"/>
    </row>
    <row r="216" spans="1:8">
      <c r="A216" s="122"/>
      <c r="B216" s="125"/>
      <c r="C216" s="125"/>
      <c r="D216" s="16">
        <f>C215/3</f>
        <v>1</v>
      </c>
      <c r="E216" s="123"/>
      <c r="F216" s="124"/>
    </row>
    <row r="217" spans="1:8">
      <c r="A217" s="122"/>
      <c r="B217" s="125" t="s">
        <v>69</v>
      </c>
      <c r="C217" s="125">
        <v>21</v>
      </c>
      <c r="D217" s="35" t="s">
        <v>159</v>
      </c>
      <c r="E217" s="123"/>
      <c r="F217" s="124"/>
    </row>
    <row r="218" spans="1:8">
      <c r="A218" s="122"/>
      <c r="B218" s="125"/>
      <c r="C218" s="125"/>
      <c r="D218" s="16">
        <v>0</v>
      </c>
      <c r="E218" s="123"/>
      <c r="F218" s="124"/>
    </row>
    <row r="219" spans="1:8">
      <c r="A219" s="36" t="s">
        <v>70</v>
      </c>
      <c r="B219" s="37" t="s">
        <v>72</v>
      </c>
      <c r="C219" s="37" t="s">
        <v>16</v>
      </c>
      <c r="D219" s="126" t="s">
        <v>160</v>
      </c>
      <c r="E219" s="126"/>
      <c r="F219" s="127"/>
    </row>
    <row r="220" spans="1:8">
      <c r="A220" s="122" t="s">
        <v>62</v>
      </c>
      <c r="B220" s="16" t="s">
        <v>68</v>
      </c>
      <c r="C220" s="16">
        <v>0</v>
      </c>
      <c r="D220" s="129">
        <f>C220/9</f>
        <v>0</v>
      </c>
      <c r="E220" s="129"/>
      <c r="F220" s="124"/>
    </row>
    <row r="221" spans="1:8" ht="16.5" thickBot="1">
      <c r="A221" s="128"/>
      <c r="B221" s="20" t="s">
        <v>69</v>
      </c>
      <c r="C221" s="20">
        <v>2</v>
      </c>
      <c r="D221" s="130"/>
      <c r="E221" s="130"/>
      <c r="F221" s="131"/>
    </row>
    <row r="223" spans="1:8" ht="16.5" thickBot="1">
      <c r="A223" s="14" t="s">
        <v>400</v>
      </c>
    </row>
    <row r="224" spans="1:8" hidden="1">
      <c r="A224" s="3" t="s">
        <v>58</v>
      </c>
      <c r="B224" s="4" t="s">
        <v>67</v>
      </c>
      <c r="C224" s="4" t="s">
        <v>3</v>
      </c>
      <c r="D224" s="4" t="s">
        <v>57</v>
      </c>
      <c r="E224" s="4" t="s">
        <v>59</v>
      </c>
      <c r="F224" s="4" t="s">
        <v>61</v>
      </c>
      <c r="G224" s="4" t="s">
        <v>60</v>
      </c>
      <c r="H224" s="5" t="s">
        <v>66</v>
      </c>
    </row>
    <row r="225" spans="1:8" ht="31.5" hidden="1">
      <c r="A225" s="28">
        <v>45908</v>
      </c>
      <c r="B225" s="16" t="s">
        <v>91</v>
      </c>
      <c r="C225" s="16" t="s">
        <v>351</v>
      </c>
      <c r="D225" s="16" t="s">
        <v>415</v>
      </c>
      <c r="E225" s="16" t="s">
        <v>41</v>
      </c>
      <c r="F225" s="33" t="s">
        <v>71</v>
      </c>
      <c r="G225" s="17" t="s">
        <v>431</v>
      </c>
      <c r="H225" s="29"/>
    </row>
    <row r="226" spans="1:8" hidden="1">
      <c r="A226" s="28">
        <v>45908</v>
      </c>
      <c r="B226" s="16" t="s">
        <v>76</v>
      </c>
      <c r="C226" s="16" t="s">
        <v>49</v>
      </c>
      <c r="D226" s="16" t="s">
        <v>416</v>
      </c>
      <c r="E226" s="16" t="s">
        <v>41</v>
      </c>
      <c r="F226" s="33" t="s">
        <v>77</v>
      </c>
      <c r="G226" s="17" t="s">
        <v>432</v>
      </c>
      <c r="H226" s="29"/>
    </row>
    <row r="227" spans="1:8" hidden="1">
      <c r="A227" s="28">
        <v>45908</v>
      </c>
      <c r="B227" s="16" t="s">
        <v>75</v>
      </c>
      <c r="C227" s="16" t="s">
        <v>56</v>
      </c>
      <c r="D227" s="16" t="s">
        <v>417</v>
      </c>
      <c r="E227" s="16" t="s">
        <v>41</v>
      </c>
      <c r="F227" s="33" t="s">
        <v>64</v>
      </c>
      <c r="G227" s="17" t="s">
        <v>433</v>
      </c>
      <c r="H227" s="29"/>
    </row>
    <row r="228" spans="1:8" ht="31.5" hidden="1">
      <c r="A228" s="28">
        <v>45908</v>
      </c>
      <c r="B228" s="16" t="s">
        <v>75</v>
      </c>
      <c r="C228" s="16" t="s">
        <v>371</v>
      </c>
      <c r="D228" s="16" t="s">
        <v>418</v>
      </c>
      <c r="E228" s="16" t="s">
        <v>41</v>
      </c>
      <c r="F228" s="33" t="s">
        <v>71</v>
      </c>
      <c r="G228" s="17" t="s">
        <v>434</v>
      </c>
      <c r="H228" s="29"/>
    </row>
    <row r="229" spans="1:8" ht="31.5" hidden="1">
      <c r="A229" s="28">
        <v>45908</v>
      </c>
      <c r="B229" s="16" t="s">
        <v>75</v>
      </c>
      <c r="C229" s="16" t="s">
        <v>410</v>
      </c>
      <c r="D229" s="16" t="s">
        <v>454</v>
      </c>
      <c r="E229" s="16" t="s">
        <v>41</v>
      </c>
      <c r="F229" s="33" t="s">
        <v>77</v>
      </c>
      <c r="G229" s="17" t="s">
        <v>435</v>
      </c>
      <c r="H229" s="29"/>
    </row>
    <row r="230" spans="1:8" hidden="1">
      <c r="A230" s="28">
        <v>45908</v>
      </c>
      <c r="B230" s="16" t="s">
        <v>76</v>
      </c>
      <c r="C230" s="16" t="s">
        <v>42</v>
      </c>
      <c r="D230" s="16" t="s">
        <v>419</v>
      </c>
      <c r="E230" s="16" t="s">
        <v>41</v>
      </c>
      <c r="F230" s="33" t="s">
        <v>77</v>
      </c>
      <c r="G230" s="17" t="s">
        <v>436</v>
      </c>
      <c r="H230" s="29"/>
    </row>
    <row r="231" spans="1:8" ht="110.25" hidden="1">
      <c r="A231" s="28">
        <v>45909</v>
      </c>
      <c r="B231" s="16" t="s">
        <v>75</v>
      </c>
      <c r="C231" s="16" t="s">
        <v>374</v>
      </c>
      <c r="D231" s="16" t="s">
        <v>381</v>
      </c>
      <c r="E231" s="16" t="s">
        <v>40</v>
      </c>
      <c r="F231" s="33" t="s">
        <v>71</v>
      </c>
      <c r="G231" s="17" t="s">
        <v>437</v>
      </c>
      <c r="H231" s="29"/>
    </row>
    <row r="232" spans="1:8" hidden="1">
      <c r="A232" s="28">
        <v>45909</v>
      </c>
      <c r="B232" s="16" t="s">
        <v>75</v>
      </c>
      <c r="C232" s="16" t="s">
        <v>411</v>
      </c>
      <c r="D232" s="16" t="s">
        <v>420</v>
      </c>
      <c r="E232" s="16" t="s">
        <v>41</v>
      </c>
      <c r="F232" s="33" t="s">
        <v>64</v>
      </c>
      <c r="G232" s="16" t="s">
        <v>438</v>
      </c>
      <c r="H232" s="29"/>
    </row>
    <row r="233" spans="1:8" ht="63" hidden="1">
      <c r="A233" s="28">
        <v>45909</v>
      </c>
      <c r="B233" s="16" t="s">
        <v>75</v>
      </c>
      <c r="C233" s="16" t="s">
        <v>56</v>
      </c>
      <c r="D233" s="16" t="s">
        <v>417</v>
      </c>
      <c r="E233" s="16" t="s">
        <v>40</v>
      </c>
      <c r="F233" s="33" t="s">
        <v>71</v>
      </c>
      <c r="G233" s="17" t="s">
        <v>439</v>
      </c>
      <c r="H233" s="29"/>
    </row>
    <row r="234" spans="1:8" ht="47.25" hidden="1">
      <c r="A234" s="28">
        <v>45910</v>
      </c>
      <c r="B234" s="16" t="s">
        <v>75</v>
      </c>
      <c r="C234" s="16" t="s">
        <v>362</v>
      </c>
      <c r="D234" s="16" t="s">
        <v>421</v>
      </c>
      <c r="E234" s="16" t="s">
        <v>40</v>
      </c>
      <c r="F234" s="33" t="s">
        <v>71</v>
      </c>
      <c r="G234" s="17" t="s">
        <v>440</v>
      </c>
      <c r="H234" s="29"/>
    </row>
    <row r="235" spans="1:8" hidden="1">
      <c r="A235" s="28">
        <v>45910</v>
      </c>
      <c r="B235" s="16" t="s">
        <v>75</v>
      </c>
      <c r="C235" s="16" t="s">
        <v>15</v>
      </c>
      <c r="D235" s="16" t="s">
        <v>328</v>
      </c>
      <c r="E235" s="16" t="s">
        <v>41</v>
      </c>
      <c r="F235" s="33" t="s">
        <v>77</v>
      </c>
      <c r="G235" s="17" t="s">
        <v>441</v>
      </c>
      <c r="H235" s="29"/>
    </row>
    <row r="236" spans="1:8" hidden="1">
      <c r="A236" s="28">
        <v>45910</v>
      </c>
      <c r="B236" s="16" t="s">
        <v>91</v>
      </c>
      <c r="C236" s="16" t="s">
        <v>111</v>
      </c>
      <c r="D236" s="16" t="s">
        <v>283</v>
      </c>
      <c r="E236" s="16" t="s">
        <v>41</v>
      </c>
      <c r="F236" s="33" t="s">
        <v>64</v>
      </c>
      <c r="G236" s="17" t="s">
        <v>442</v>
      </c>
      <c r="H236" s="29"/>
    </row>
    <row r="237" spans="1:8" ht="63" hidden="1">
      <c r="A237" s="28">
        <v>45910</v>
      </c>
      <c r="B237" s="16" t="s">
        <v>75</v>
      </c>
      <c r="C237" s="16" t="s">
        <v>411</v>
      </c>
      <c r="D237" s="16" t="s">
        <v>420</v>
      </c>
      <c r="E237" s="16" t="s">
        <v>40</v>
      </c>
      <c r="F237" s="33" t="s">
        <v>71</v>
      </c>
      <c r="G237" s="17" t="s">
        <v>443</v>
      </c>
      <c r="H237" s="29"/>
    </row>
    <row r="238" spans="1:8" hidden="1">
      <c r="A238" s="28">
        <v>45910</v>
      </c>
      <c r="B238" s="16" t="s">
        <v>91</v>
      </c>
      <c r="C238" s="16" t="s">
        <v>228</v>
      </c>
      <c r="D238" s="16" t="s">
        <v>412</v>
      </c>
      <c r="E238" s="16" t="s">
        <v>41</v>
      </c>
      <c r="F238" s="33" t="s">
        <v>77</v>
      </c>
      <c r="G238" s="17" t="s">
        <v>444</v>
      </c>
      <c r="H238" s="29"/>
    </row>
    <row r="239" spans="1:8" hidden="1">
      <c r="A239" s="28">
        <v>45910</v>
      </c>
      <c r="B239" s="16" t="s">
        <v>91</v>
      </c>
      <c r="C239" s="16" t="s">
        <v>228</v>
      </c>
      <c r="D239" s="16" t="s">
        <v>413</v>
      </c>
      <c r="E239" s="16" t="s">
        <v>41</v>
      </c>
      <c r="F239" s="33" t="s">
        <v>77</v>
      </c>
      <c r="G239" s="17" t="s">
        <v>444</v>
      </c>
      <c r="H239" s="29"/>
    </row>
    <row r="240" spans="1:8" ht="31.5" hidden="1">
      <c r="A240" s="28">
        <v>45910</v>
      </c>
      <c r="B240" s="16" t="s">
        <v>75</v>
      </c>
      <c r="C240" s="16" t="s">
        <v>74</v>
      </c>
      <c r="D240" s="16" t="s">
        <v>422</v>
      </c>
      <c r="E240" s="16" t="s">
        <v>41</v>
      </c>
      <c r="F240" s="33" t="s">
        <v>71</v>
      </c>
      <c r="G240" s="17" t="s">
        <v>428</v>
      </c>
      <c r="H240" s="29"/>
    </row>
    <row r="241" spans="1:8" ht="31.5" hidden="1">
      <c r="A241" s="28">
        <v>45910</v>
      </c>
      <c r="B241" s="16" t="s">
        <v>91</v>
      </c>
      <c r="C241" s="16" t="s">
        <v>406</v>
      </c>
      <c r="D241" s="16" t="s">
        <v>453</v>
      </c>
      <c r="E241" s="16" t="s">
        <v>40</v>
      </c>
      <c r="F241" s="33" t="s">
        <v>77</v>
      </c>
      <c r="G241" s="17" t="s">
        <v>445</v>
      </c>
      <c r="H241" s="29"/>
    </row>
    <row r="242" spans="1:8" ht="47.25" hidden="1">
      <c r="A242" s="28">
        <v>45911</v>
      </c>
      <c r="B242" s="16" t="s">
        <v>197</v>
      </c>
      <c r="C242" s="16" t="s">
        <v>407</v>
      </c>
      <c r="D242" s="16" t="s">
        <v>423</v>
      </c>
      <c r="E242" s="16" t="s">
        <v>40</v>
      </c>
      <c r="F242" s="33" t="s">
        <v>71</v>
      </c>
      <c r="G242" s="17" t="s">
        <v>446</v>
      </c>
      <c r="H242" s="29"/>
    </row>
    <row r="243" spans="1:8" ht="157.5" hidden="1">
      <c r="A243" s="28">
        <v>45911</v>
      </c>
      <c r="B243" s="16" t="s">
        <v>75</v>
      </c>
      <c r="C243" s="16" t="s">
        <v>295</v>
      </c>
      <c r="D243" s="16" t="s">
        <v>296</v>
      </c>
      <c r="E243" s="16" t="s">
        <v>40</v>
      </c>
      <c r="F243" s="33" t="s">
        <v>71</v>
      </c>
      <c r="G243" s="17" t="s">
        <v>447</v>
      </c>
      <c r="H243" s="29"/>
    </row>
    <row r="244" spans="1:8" ht="110.25" hidden="1">
      <c r="A244" s="28">
        <v>45911</v>
      </c>
      <c r="B244" s="16" t="s">
        <v>75</v>
      </c>
      <c r="C244" s="16" t="s">
        <v>371</v>
      </c>
      <c r="D244" s="16" t="s">
        <v>418</v>
      </c>
      <c r="E244" s="16" t="s">
        <v>40</v>
      </c>
      <c r="F244" s="33" t="s">
        <v>71</v>
      </c>
      <c r="G244" s="17" t="s">
        <v>448</v>
      </c>
      <c r="H244" s="29"/>
    </row>
    <row r="245" spans="1:8" ht="47.25" hidden="1">
      <c r="A245" s="28">
        <v>45912</v>
      </c>
      <c r="B245" s="16" t="s">
        <v>197</v>
      </c>
      <c r="C245" s="16" t="s">
        <v>414</v>
      </c>
      <c r="D245" s="16" t="s">
        <v>424</v>
      </c>
      <c r="E245" s="16" t="s">
        <v>40</v>
      </c>
      <c r="F245" s="33" t="s">
        <v>71</v>
      </c>
      <c r="G245" s="17" t="s">
        <v>449</v>
      </c>
      <c r="H245" s="29"/>
    </row>
    <row r="246" spans="1:8" hidden="1">
      <c r="A246" s="28">
        <v>45912</v>
      </c>
      <c r="B246" s="16" t="s">
        <v>75</v>
      </c>
      <c r="C246" s="16" t="s">
        <v>408</v>
      </c>
      <c r="D246" s="16" t="s">
        <v>425</v>
      </c>
      <c r="E246" s="16" t="s">
        <v>40</v>
      </c>
      <c r="F246" s="33" t="s">
        <v>71</v>
      </c>
      <c r="G246" s="17" t="s">
        <v>450</v>
      </c>
      <c r="H246" s="29"/>
    </row>
    <row r="247" spans="1:8" ht="47.25" hidden="1">
      <c r="A247" s="28">
        <v>45912</v>
      </c>
      <c r="B247" s="16" t="s">
        <v>91</v>
      </c>
      <c r="C247" s="16" t="s">
        <v>405</v>
      </c>
      <c r="D247" s="16" t="s">
        <v>426</v>
      </c>
      <c r="E247" s="16" t="s">
        <v>40</v>
      </c>
      <c r="F247" s="33" t="s">
        <v>71</v>
      </c>
      <c r="G247" s="17" t="s">
        <v>451</v>
      </c>
      <c r="H247" s="29"/>
    </row>
    <row r="248" spans="1:8" ht="16.5" hidden="1" thickBot="1">
      <c r="A248" s="31"/>
      <c r="B248" s="20"/>
      <c r="C248" s="20"/>
      <c r="D248" s="20"/>
      <c r="E248" s="20"/>
      <c r="F248" s="20"/>
      <c r="G248" s="20"/>
      <c r="H248" s="30"/>
    </row>
    <row r="249" spans="1:8" ht="16.5" hidden="1" thickBot="1"/>
    <row r="250" spans="1:8">
      <c r="A250" s="3" t="s">
        <v>70</v>
      </c>
      <c r="B250" s="4" t="s">
        <v>72</v>
      </c>
      <c r="C250" s="4" t="s">
        <v>16</v>
      </c>
      <c r="D250" s="34" t="s">
        <v>155</v>
      </c>
      <c r="E250" s="9" t="s">
        <v>156</v>
      </c>
      <c r="F250" s="10" t="s">
        <v>157</v>
      </c>
    </row>
    <row r="251" spans="1:8">
      <c r="A251" s="122" t="s">
        <v>63</v>
      </c>
      <c r="B251" s="16" t="s">
        <v>68</v>
      </c>
      <c r="C251" s="16">
        <v>3</v>
      </c>
      <c r="D251" s="16">
        <v>3</v>
      </c>
      <c r="E251" s="123">
        <f>D251+D253+D255</f>
        <v>4</v>
      </c>
      <c r="F251" s="124">
        <f>E251/12</f>
        <v>0.33333333333333331</v>
      </c>
    </row>
    <row r="252" spans="1:8">
      <c r="A252" s="122"/>
      <c r="B252" s="125" t="s">
        <v>65</v>
      </c>
      <c r="C252" s="125">
        <v>3</v>
      </c>
      <c r="D252" s="35" t="s">
        <v>158</v>
      </c>
      <c r="E252" s="123"/>
      <c r="F252" s="124"/>
    </row>
    <row r="253" spans="1:8">
      <c r="A253" s="122"/>
      <c r="B253" s="125"/>
      <c r="C253" s="125"/>
      <c r="D253" s="16">
        <f>C252/3</f>
        <v>1</v>
      </c>
      <c r="E253" s="123"/>
      <c r="F253" s="124"/>
    </row>
    <row r="254" spans="1:8">
      <c r="A254" s="122"/>
      <c r="B254" s="125" t="s">
        <v>69</v>
      </c>
      <c r="C254" s="125">
        <v>6</v>
      </c>
      <c r="D254" s="35" t="s">
        <v>159</v>
      </c>
      <c r="E254" s="123"/>
      <c r="F254" s="124"/>
    </row>
    <row r="255" spans="1:8">
      <c r="A255" s="122"/>
      <c r="B255" s="125"/>
      <c r="C255" s="125"/>
      <c r="D255" s="16">
        <v>0</v>
      </c>
      <c r="E255" s="123"/>
      <c r="F255" s="124"/>
    </row>
    <row r="256" spans="1:8">
      <c r="A256" s="36" t="s">
        <v>70</v>
      </c>
      <c r="B256" s="37" t="s">
        <v>72</v>
      </c>
      <c r="C256" s="37" t="s">
        <v>16</v>
      </c>
      <c r="D256" s="126" t="s">
        <v>160</v>
      </c>
      <c r="E256" s="126"/>
      <c r="F256" s="127"/>
    </row>
    <row r="257" spans="1:8">
      <c r="A257" s="122" t="s">
        <v>62</v>
      </c>
      <c r="B257" s="16" t="s">
        <v>68</v>
      </c>
      <c r="C257" s="16">
        <v>10</v>
      </c>
      <c r="D257" s="129">
        <f>C257/9</f>
        <v>1.1111111111111112</v>
      </c>
      <c r="E257" s="129"/>
      <c r="F257" s="124"/>
    </row>
    <row r="258" spans="1:8" ht="16.5" thickBot="1">
      <c r="A258" s="128"/>
      <c r="B258" s="20" t="s">
        <v>69</v>
      </c>
      <c r="C258" s="20">
        <v>1</v>
      </c>
      <c r="D258" s="130"/>
      <c r="E258" s="130"/>
      <c r="F258" s="131"/>
    </row>
    <row r="260" spans="1:8" ht="16.5" thickBot="1">
      <c r="A260" s="14" t="s">
        <v>409</v>
      </c>
    </row>
    <row r="261" spans="1:8">
      <c r="A261" s="3" t="s">
        <v>58</v>
      </c>
      <c r="B261" s="4" t="s">
        <v>67</v>
      </c>
      <c r="C261" s="4" t="s">
        <v>3</v>
      </c>
      <c r="D261" s="4" t="s">
        <v>57</v>
      </c>
      <c r="E261" s="4" t="s">
        <v>59</v>
      </c>
      <c r="F261" s="4" t="s">
        <v>61</v>
      </c>
      <c r="G261" s="4" t="s">
        <v>60</v>
      </c>
      <c r="H261" s="5" t="s">
        <v>66</v>
      </c>
    </row>
    <row r="262" spans="1:8">
      <c r="A262" s="28">
        <v>45915</v>
      </c>
      <c r="B262" s="16" t="s">
        <v>75</v>
      </c>
      <c r="C262" s="16" t="s">
        <v>56</v>
      </c>
      <c r="D262" s="16" t="s">
        <v>194</v>
      </c>
      <c r="E262" s="16" t="s">
        <v>41</v>
      </c>
      <c r="F262" s="33" t="s">
        <v>71</v>
      </c>
      <c r="G262" s="17" t="s">
        <v>472</v>
      </c>
      <c r="H262" s="29"/>
    </row>
    <row r="263" spans="1:8" ht="31.5">
      <c r="A263" s="28">
        <v>45915</v>
      </c>
      <c r="B263" s="16" t="s">
        <v>75</v>
      </c>
      <c r="C263" s="16" t="s">
        <v>15</v>
      </c>
      <c r="D263" s="16" t="s">
        <v>455</v>
      </c>
      <c r="E263" s="16" t="s">
        <v>41</v>
      </c>
      <c r="F263" s="33" t="s">
        <v>71</v>
      </c>
      <c r="G263" s="17" t="s">
        <v>473</v>
      </c>
      <c r="H263" s="29"/>
    </row>
    <row r="264" spans="1:8">
      <c r="A264" s="28">
        <v>45916</v>
      </c>
      <c r="B264" s="16" t="s">
        <v>75</v>
      </c>
      <c r="C264" s="16" t="s">
        <v>15</v>
      </c>
      <c r="D264" s="16" t="s">
        <v>328</v>
      </c>
      <c r="E264" s="16" t="s">
        <v>41</v>
      </c>
      <c r="F264" s="33" t="s">
        <v>71</v>
      </c>
      <c r="G264" s="17" t="s">
        <v>474</v>
      </c>
      <c r="H264" s="29"/>
    </row>
    <row r="265" spans="1:8">
      <c r="A265" s="28">
        <v>45916</v>
      </c>
      <c r="B265" s="16" t="s">
        <v>75</v>
      </c>
      <c r="C265" s="16" t="s">
        <v>411</v>
      </c>
      <c r="D265" s="16" t="s">
        <v>456</v>
      </c>
      <c r="E265" s="16" t="s">
        <v>41</v>
      </c>
      <c r="F265" s="33" t="s">
        <v>71</v>
      </c>
      <c r="G265" s="17" t="s">
        <v>457</v>
      </c>
      <c r="H265" s="29"/>
    </row>
    <row r="266" spans="1:8">
      <c r="A266" s="28">
        <v>45916</v>
      </c>
      <c r="B266" s="16" t="s">
        <v>75</v>
      </c>
      <c r="C266" s="16" t="s">
        <v>199</v>
      </c>
      <c r="D266" s="16" t="s">
        <v>200</v>
      </c>
      <c r="E266" s="16" t="s">
        <v>41</v>
      </c>
      <c r="F266" s="33" t="s">
        <v>77</v>
      </c>
      <c r="G266" s="17" t="s">
        <v>129</v>
      </c>
      <c r="H266" s="29"/>
    </row>
    <row r="267" spans="1:8" ht="31.5">
      <c r="A267" s="28">
        <v>45916</v>
      </c>
      <c r="B267" s="16" t="s">
        <v>75</v>
      </c>
      <c r="C267" s="16" t="s">
        <v>15</v>
      </c>
      <c r="D267" s="16" t="s">
        <v>145</v>
      </c>
      <c r="E267" s="16" t="s">
        <v>41</v>
      </c>
      <c r="F267" s="33" t="s">
        <v>71</v>
      </c>
      <c r="G267" s="17" t="s">
        <v>479</v>
      </c>
      <c r="H267" s="29"/>
    </row>
    <row r="268" spans="1:8">
      <c r="A268" s="28">
        <v>45916</v>
      </c>
      <c r="B268" s="16" t="s">
        <v>76</v>
      </c>
      <c r="C268" s="16" t="s">
        <v>458</v>
      </c>
      <c r="D268" s="16" t="s">
        <v>460</v>
      </c>
      <c r="E268" s="16" t="s">
        <v>41</v>
      </c>
      <c r="F268" s="33" t="s">
        <v>64</v>
      </c>
      <c r="G268" s="17" t="s">
        <v>464</v>
      </c>
      <c r="H268" s="29"/>
    </row>
    <row r="269" spans="1:8">
      <c r="A269" s="28">
        <v>45916</v>
      </c>
      <c r="B269" s="16" t="s">
        <v>76</v>
      </c>
      <c r="C269" s="16" t="s">
        <v>459</v>
      </c>
      <c r="D269" s="16" t="s">
        <v>461</v>
      </c>
      <c r="E269" s="16" t="s">
        <v>41</v>
      </c>
      <c r="F269" s="33" t="s">
        <v>64</v>
      </c>
      <c r="G269" s="16" t="s">
        <v>462</v>
      </c>
      <c r="H269" s="29"/>
    </row>
    <row r="270" spans="1:8">
      <c r="A270" s="28">
        <v>45916</v>
      </c>
      <c r="B270" s="16" t="s">
        <v>75</v>
      </c>
      <c r="C270" s="16" t="s">
        <v>14</v>
      </c>
      <c r="D270" s="16" t="s">
        <v>142</v>
      </c>
      <c r="E270" s="16" t="s">
        <v>41</v>
      </c>
      <c r="F270" s="33" t="s">
        <v>64</v>
      </c>
      <c r="G270" s="17" t="s">
        <v>463</v>
      </c>
      <c r="H270" s="29"/>
    </row>
    <row r="271" spans="1:8">
      <c r="A271" s="28">
        <v>45917</v>
      </c>
      <c r="B271" s="16" t="s">
        <v>197</v>
      </c>
      <c r="C271" s="16" t="s">
        <v>411</v>
      </c>
      <c r="D271" s="16" t="s">
        <v>468</v>
      </c>
      <c r="E271" s="16" t="s">
        <v>41</v>
      </c>
      <c r="F271" s="33" t="s">
        <v>71</v>
      </c>
      <c r="G271" s="17" t="s">
        <v>475</v>
      </c>
      <c r="H271" s="29"/>
    </row>
    <row r="272" spans="1:8" ht="126">
      <c r="A272" s="28">
        <v>45917</v>
      </c>
      <c r="B272" s="16" t="s">
        <v>75</v>
      </c>
      <c r="C272" s="16" t="s">
        <v>15</v>
      </c>
      <c r="D272" s="16" t="s">
        <v>108</v>
      </c>
      <c r="E272" s="16" t="s">
        <v>41</v>
      </c>
      <c r="F272" s="33" t="s">
        <v>71</v>
      </c>
      <c r="G272" s="17" t="s">
        <v>482</v>
      </c>
      <c r="H272" s="29"/>
    </row>
    <row r="273" spans="1:8" ht="47.25">
      <c r="A273" s="28">
        <v>45917</v>
      </c>
      <c r="B273" s="16" t="s">
        <v>75</v>
      </c>
      <c r="C273" s="16" t="s">
        <v>465</v>
      </c>
      <c r="D273" s="16" t="s">
        <v>466</v>
      </c>
      <c r="E273" s="16" t="s">
        <v>41</v>
      </c>
      <c r="F273" s="33" t="s">
        <v>71</v>
      </c>
      <c r="G273" s="17" t="s">
        <v>480</v>
      </c>
      <c r="H273" s="29"/>
    </row>
    <row r="274" spans="1:8">
      <c r="A274" s="28">
        <v>45917</v>
      </c>
      <c r="B274" s="16" t="s">
        <v>75</v>
      </c>
      <c r="C274" s="16" t="s">
        <v>56</v>
      </c>
      <c r="D274" s="16" t="s">
        <v>467</v>
      </c>
      <c r="E274" s="16" t="s">
        <v>41</v>
      </c>
      <c r="F274" s="33" t="s">
        <v>71</v>
      </c>
      <c r="G274" s="17" t="s">
        <v>481</v>
      </c>
      <c r="H274" s="29"/>
    </row>
    <row r="275" spans="1:8" ht="47.25">
      <c r="A275" s="28">
        <v>45917</v>
      </c>
      <c r="B275" s="16" t="s">
        <v>75</v>
      </c>
      <c r="C275" s="16" t="s">
        <v>56</v>
      </c>
      <c r="D275" s="16" t="s">
        <v>194</v>
      </c>
      <c r="E275" s="16" t="s">
        <v>41</v>
      </c>
      <c r="F275" s="33" t="s">
        <v>71</v>
      </c>
      <c r="G275" s="17" t="s">
        <v>483</v>
      </c>
      <c r="H275" s="29"/>
    </row>
    <row r="276" spans="1:8">
      <c r="A276" s="28">
        <v>45917</v>
      </c>
      <c r="B276" s="16" t="s">
        <v>76</v>
      </c>
      <c r="C276" s="16" t="s">
        <v>176</v>
      </c>
      <c r="D276" s="16" t="s">
        <v>469</v>
      </c>
      <c r="E276" s="16" t="s">
        <v>41</v>
      </c>
      <c r="F276" s="33" t="s">
        <v>64</v>
      </c>
      <c r="G276" s="17" t="s">
        <v>470</v>
      </c>
      <c r="H276" s="29"/>
    </row>
    <row r="277" spans="1:8">
      <c r="A277" s="28">
        <v>45917</v>
      </c>
      <c r="B277" s="16" t="s">
        <v>76</v>
      </c>
      <c r="C277" s="16" t="s">
        <v>49</v>
      </c>
      <c r="D277" s="16" t="s">
        <v>195</v>
      </c>
      <c r="E277" s="16" t="s">
        <v>41</v>
      </c>
      <c r="F277" s="33" t="s">
        <v>64</v>
      </c>
      <c r="G277" s="17" t="s">
        <v>471</v>
      </c>
      <c r="H277" s="29"/>
    </row>
    <row r="278" spans="1:8">
      <c r="A278" s="28">
        <v>45917</v>
      </c>
      <c r="B278" s="16" t="s">
        <v>76</v>
      </c>
      <c r="C278" s="16" t="s">
        <v>476</v>
      </c>
      <c r="D278" s="16" t="s">
        <v>478</v>
      </c>
      <c r="E278" s="16" t="s">
        <v>41</v>
      </c>
      <c r="F278" s="33" t="s">
        <v>64</v>
      </c>
      <c r="G278" s="17" t="s">
        <v>485</v>
      </c>
      <c r="H278" s="29"/>
    </row>
    <row r="279" spans="1:8">
      <c r="A279" s="28">
        <v>45917</v>
      </c>
      <c r="B279" s="16" t="s">
        <v>76</v>
      </c>
      <c r="C279" s="16" t="s">
        <v>477</v>
      </c>
      <c r="D279" s="16" t="s">
        <v>334</v>
      </c>
      <c r="E279" s="16" t="s">
        <v>41</v>
      </c>
      <c r="F279" s="33" t="s">
        <v>77</v>
      </c>
      <c r="G279" s="17" t="s">
        <v>129</v>
      </c>
      <c r="H279" s="29"/>
    </row>
    <row r="280" spans="1:8">
      <c r="A280" s="28">
        <v>45917</v>
      </c>
      <c r="B280" s="16" t="s">
        <v>76</v>
      </c>
      <c r="C280" s="16" t="s">
        <v>49</v>
      </c>
      <c r="D280" s="16" t="s">
        <v>373</v>
      </c>
      <c r="E280" s="16" t="s">
        <v>41</v>
      </c>
      <c r="F280" s="33" t="s">
        <v>77</v>
      </c>
      <c r="G280" s="17" t="s">
        <v>129</v>
      </c>
      <c r="H280" s="29"/>
    </row>
    <row r="281" spans="1:8">
      <c r="A281" s="28">
        <v>45917</v>
      </c>
      <c r="B281" s="16" t="s">
        <v>75</v>
      </c>
      <c r="C281" s="16" t="s">
        <v>199</v>
      </c>
      <c r="D281" s="16" t="s">
        <v>200</v>
      </c>
      <c r="E281" s="16" t="s">
        <v>41</v>
      </c>
      <c r="F281" s="33" t="s">
        <v>77</v>
      </c>
      <c r="G281" s="17" t="s">
        <v>484</v>
      </c>
      <c r="H281" s="29"/>
    </row>
    <row r="282" spans="1:8">
      <c r="A282" s="28">
        <v>45919</v>
      </c>
      <c r="B282" s="16" t="s">
        <v>75</v>
      </c>
      <c r="C282" s="16" t="s">
        <v>15</v>
      </c>
      <c r="D282" s="16" t="s">
        <v>489</v>
      </c>
      <c r="E282" s="16" t="s">
        <v>40</v>
      </c>
      <c r="F282" s="33" t="s">
        <v>71</v>
      </c>
      <c r="G282" s="17" t="s">
        <v>490</v>
      </c>
      <c r="H282" s="29"/>
    </row>
    <row r="283" spans="1:8" ht="16.5" thickBot="1">
      <c r="A283" s="31"/>
      <c r="B283" s="20"/>
      <c r="C283" s="20"/>
      <c r="D283" s="20"/>
      <c r="E283" s="20"/>
      <c r="F283" s="20"/>
      <c r="G283" s="20"/>
      <c r="H283" s="30"/>
    </row>
    <row r="284" spans="1:8" ht="16.5" thickBot="1"/>
    <row r="285" spans="1:8">
      <c r="A285" s="3" t="s">
        <v>70</v>
      </c>
      <c r="B285" s="4" t="s">
        <v>72</v>
      </c>
      <c r="C285" s="4" t="s">
        <v>16</v>
      </c>
      <c r="D285" s="34" t="s">
        <v>155</v>
      </c>
      <c r="E285" s="9" t="s">
        <v>156</v>
      </c>
      <c r="F285" s="10" t="s">
        <v>157</v>
      </c>
    </row>
    <row r="286" spans="1:8">
      <c r="A286" s="122" t="s">
        <v>63</v>
      </c>
      <c r="B286" s="16" t="s">
        <v>68</v>
      </c>
      <c r="C286" s="16"/>
      <c r="D286" s="16"/>
      <c r="E286" s="123">
        <f>D286+D288+D290</f>
        <v>0</v>
      </c>
      <c r="F286" s="124">
        <f>E286/12</f>
        <v>0</v>
      </c>
    </row>
    <row r="287" spans="1:8">
      <c r="A287" s="122"/>
      <c r="B287" s="125" t="s">
        <v>65</v>
      </c>
      <c r="C287" s="125"/>
      <c r="D287" s="35" t="s">
        <v>158</v>
      </c>
      <c r="E287" s="123"/>
      <c r="F287" s="124"/>
    </row>
    <row r="288" spans="1:8">
      <c r="A288" s="122"/>
      <c r="B288" s="125"/>
      <c r="C288" s="125"/>
      <c r="D288" s="16">
        <f>C287/3</f>
        <v>0</v>
      </c>
      <c r="E288" s="123"/>
      <c r="F288" s="124"/>
    </row>
    <row r="289" spans="1:8">
      <c r="A289" s="122"/>
      <c r="B289" s="125" t="s">
        <v>69</v>
      </c>
      <c r="C289" s="125"/>
      <c r="D289" s="35" t="s">
        <v>159</v>
      </c>
      <c r="E289" s="123"/>
      <c r="F289" s="124"/>
    </row>
    <row r="290" spans="1:8">
      <c r="A290" s="122"/>
      <c r="B290" s="125"/>
      <c r="C290" s="125"/>
      <c r="D290" s="16">
        <v>0</v>
      </c>
      <c r="E290" s="123"/>
      <c r="F290" s="124"/>
    </row>
    <row r="291" spans="1:8">
      <c r="A291" s="36" t="s">
        <v>70</v>
      </c>
      <c r="B291" s="37" t="s">
        <v>72</v>
      </c>
      <c r="C291" s="37" t="s">
        <v>16</v>
      </c>
      <c r="D291" s="126" t="s">
        <v>160</v>
      </c>
      <c r="E291" s="126"/>
      <c r="F291" s="127"/>
    </row>
    <row r="292" spans="1:8">
      <c r="A292" s="122" t="s">
        <v>62</v>
      </c>
      <c r="B292" s="16" t="s">
        <v>68</v>
      </c>
      <c r="C292" s="16">
        <v>1</v>
      </c>
      <c r="D292" s="129">
        <f>C292/9</f>
        <v>0.1111111111111111</v>
      </c>
      <c r="E292" s="129"/>
      <c r="F292" s="124"/>
    </row>
    <row r="293" spans="1:8" ht="16.5" thickBot="1">
      <c r="A293" s="128"/>
      <c r="B293" s="20" t="s">
        <v>69</v>
      </c>
      <c r="C293" s="20">
        <v>0</v>
      </c>
      <c r="D293" s="130"/>
      <c r="E293" s="130"/>
      <c r="F293" s="131"/>
    </row>
    <row r="295" spans="1:8" ht="16.5" thickBot="1">
      <c r="A295" s="14" t="s">
        <v>427</v>
      </c>
    </row>
    <row r="296" spans="1:8">
      <c r="A296" s="3" t="s">
        <v>58</v>
      </c>
      <c r="B296" s="4" t="s">
        <v>67</v>
      </c>
      <c r="C296" s="4" t="s">
        <v>3</v>
      </c>
      <c r="D296" s="4" t="s">
        <v>57</v>
      </c>
      <c r="E296" s="4" t="s">
        <v>59</v>
      </c>
      <c r="F296" s="4" t="s">
        <v>61</v>
      </c>
      <c r="G296" s="4" t="s">
        <v>60</v>
      </c>
      <c r="H296" s="5" t="s">
        <v>66</v>
      </c>
    </row>
    <row r="297" spans="1:8">
      <c r="A297" s="28">
        <v>45922</v>
      </c>
      <c r="B297" s="16" t="s">
        <v>75</v>
      </c>
      <c r="C297" s="16" t="s">
        <v>15</v>
      </c>
      <c r="D297" s="16" t="s">
        <v>491</v>
      </c>
      <c r="E297" s="16" t="s">
        <v>41</v>
      </c>
      <c r="F297" s="33" t="s">
        <v>64</v>
      </c>
      <c r="G297" s="17" t="s">
        <v>501</v>
      </c>
      <c r="H297" s="29"/>
    </row>
    <row r="298" spans="1:8">
      <c r="A298" s="28">
        <v>45922</v>
      </c>
      <c r="B298" s="16" t="s">
        <v>76</v>
      </c>
      <c r="C298" s="16" t="s">
        <v>15</v>
      </c>
      <c r="D298" s="16" t="s">
        <v>492</v>
      </c>
      <c r="E298" s="16" t="s">
        <v>41</v>
      </c>
      <c r="F298" s="33" t="s">
        <v>64</v>
      </c>
      <c r="G298" s="17" t="s">
        <v>502</v>
      </c>
      <c r="H298" s="29"/>
    </row>
    <row r="299" spans="1:8">
      <c r="A299" s="28">
        <v>45922</v>
      </c>
      <c r="B299" s="16" t="s">
        <v>76</v>
      </c>
      <c r="C299" s="16" t="s">
        <v>15</v>
      </c>
      <c r="D299" s="16" t="s">
        <v>493</v>
      </c>
      <c r="E299" s="16" t="s">
        <v>41</v>
      </c>
      <c r="F299" s="33" t="s">
        <v>64</v>
      </c>
      <c r="G299" s="17" t="s">
        <v>502</v>
      </c>
      <c r="H299" s="29"/>
    </row>
    <row r="300" spans="1:8">
      <c r="A300" s="28">
        <v>45922</v>
      </c>
      <c r="B300" s="16" t="s">
        <v>75</v>
      </c>
      <c r="C300" s="16" t="s">
        <v>14</v>
      </c>
      <c r="D300" s="16" t="s">
        <v>142</v>
      </c>
      <c r="E300" s="16" t="s">
        <v>41</v>
      </c>
      <c r="F300" s="33" t="s">
        <v>71</v>
      </c>
      <c r="G300" s="17" t="s">
        <v>494</v>
      </c>
      <c r="H300" s="29"/>
    </row>
    <row r="301" spans="1:8">
      <c r="A301" s="28">
        <v>45922</v>
      </c>
      <c r="B301" s="16" t="s">
        <v>91</v>
      </c>
      <c r="C301" s="16" t="s">
        <v>199</v>
      </c>
      <c r="D301" s="16" t="s">
        <v>200</v>
      </c>
      <c r="E301" s="16" t="s">
        <v>41</v>
      </c>
      <c r="F301" s="33" t="s">
        <v>77</v>
      </c>
      <c r="G301" s="17" t="s">
        <v>129</v>
      </c>
      <c r="H301" s="29"/>
    </row>
    <row r="302" spans="1:8">
      <c r="A302" s="28">
        <v>45922</v>
      </c>
      <c r="B302" s="16" t="s">
        <v>76</v>
      </c>
      <c r="C302" s="16" t="s">
        <v>49</v>
      </c>
      <c r="D302" s="16" t="s">
        <v>373</v>
      </c>
      <c r="E302" s="16" t="s">
        <v>41</v>
      </c>
      <c r="F302" s="33" t="s">
        <v>77</v>
      </c>
      <c r="G302" s="17" t="s">
        <v>503</v>
      </c>
      <c r="H302" s="29"/>
    </row>
    <row r="303" spans="1:8" ht="31.5">
      <c r="A303" s="28">
        <v>45923</v>
      </c>
      <c r="B303" s="16" t="s">
        <v>75</v>
      </c>
      <c r="C303" s="16" t="s">
        <v>14</v>
      </c>
      <c r="D303" s="16" t="s">
        <v>142</v>
      </c>
      <c r="E303" s="16" t="s">
        <v>40</v>
      </c>
      <c r="F303" s="33" t="s">
        <v>71</v>
      </c>
      <c r="G303" s="17" t="s">
        <v>504</v>
      </c>
      <c r="H303" s="29"/>
    </row>
    <row r="304" spans="1:8" ht="31.5">
      <c r="A304" s="28">
        <v>45923</v>
      </c>
      <c r="B304" s="16" t="s">
        <v>76</v>
      </c>
      <c r="C304" s="16" t="s">
        <v>458</v>
      </c>
      <c r="D304" s="16" t="s">
        <v>460</v>
      </c>
      <c r="E304" s="16" t="s">
        <v>40</v>
      </c>
      <c r="F304" s="33" t="s">
        <v>77</v>
      </c>
      <c r="G304" s="17" t="s">
        <v>505</v>
      </c>
      <c r="H304" s="29"/>
    </row>
    <row r="305" spans="1:8">
      <c r="A305" s="28">
        <v>45923</v>
      </c>
      <c r="B305" s="16" t="s">
        <v>76</v>
      </c>
      <c r="C305" s="16" t="s">
        <v>15</v>
      </c>
      <c r="D305" s="16" t="s">
        <v>495</v>
      </c>
      <c r="E305" s="16" t="s">
        <v>40</v>
      </c>
      <c r="F305" s="33" t="s">
        <v>77</v>
      </c>
      <c r="G305" s="17" t="s">
        <v>506</v>
      </c>
      <c r="H305" s="29"/>
    </row>
    <row r="306" spans="1:8" ht="31.5">
      <c r="A306" s="28">
        <v>45923</v>
      </c>
      <c r="B306" s="16" t="s">
        <v>75</v>
      </c>
      <c r="C306" s="16" t="s">
        <v>15</v>
      </c>
      <c r="D306" s="16" t="s">
        <v>328</v>
      </c>
      <c r="E306" s="16" t="s">
        <v>40</v>
      </c>
      <c r="F306" s="33" t="s">
        <v>71</v>
      </c>
      <c r="G306" s="17" t="s">
        <v>507</v>
      </c>
      <c r="H306" s="29"/>
    </row>
    <row r="307" spans="1:8" ht="63">
      <c r="A307" s="28">
        <v>45923</v>
      </c>
      <c r="B307" s="16" t="s">
        <v>76</v>
      </c>
      <c r="C307" s="16" t="s">
        <v>459</v>
      </c>
      <c r="D307" s="16" t="s">
        <v>461</v>
      </c>
      <c r="E307" s="16" t="s">
        <v>40</v>
      </c>
      <c r="F307" s="33" t="s">
        <v>77</v>
      </c>
      <c r="G307" s="17" t="s">
        <v>508</v>
      </c>
      <c r="H307" s="29"/>
    </row>
    <row r="308" spans="1:8">
      <c r="A308" s="28">
        <v>45923</v>
      </c>
      <c r="B308" s="16" t="s">
        <v>75</v>
      </c>
      <c r="C308" s="16" t="s">
        <v>15</v>
      </c>
      <c r="D308" s="16" t="s">
        <v>496</v>
      </c>
      <c r="E308" s="16" t="s">
        <v>41</v>
      </c>
      <c r="F308" s="33" t="s">
        <v>64</v>
      </c>
      <c r="G308" s="17" t="s">
        <v>511</v>
      </c>
      <c r="H308" s="29"/>
    </row>
    <row r="309" spans="1:8">
      <c r="A309" s="28">
        <v>45923</v>
      </c>
      <c r="B309" s="16" t="s">
        <v>76</v>
      </c>
      <c r="C309" s="16" t="s">
        <v>15</v>
      </c>
      <c r="D309" s="16" t="s">
        <v>499</v>
      </c>
      <c r="E309" s="16" t="s">
        <v>41</v>
      </c>
      <c r="F309" s="33" t="s">
        <v>64</v>
      </c>
      <c r="G309" s="17" t="s">
        <v>512</v>
      </c>
      <c r="H309" s="29"/>
    </row>
    <row r="310" spans="1:8">
      <c r="A310" s="28">
        <v>45924</v>
      </c>
      <c r="B310" s="16" t="s">
        <v>75</v>
      </c>
      <c r="C310" s="16" t="s">
        <v>25</v>
      </c>
      <c r="D310" s="16" t="s">
        <v>497</v>
      </c>
      <c r="E310" s="16" t="s">
        <v>41</v>
      </c>
      <c r="F310" s="33" t="s">
        <v>77</v>
      </c>
      <c r="G310" s="17" t="s">
        <v>513</v>
      </c>
      <c r="H310" s="29"/>
    </row>
    <row r="311" spans="1:8" ht="31.5">
      <c r="A311" s="28">
        <v>45924</v>
      </c>
      <c r="B311" s="16" t="s">
        <v>76</v>
      </c>
      <c r="C311" s="16" t="s">
        <v>476</v>
      </c>
      <c r="D311" s="16" t="s">
        <v>478</v>
      </c>
      <c r="E311" s="16" t="s">
        <v>40</v>
      </c>
      <c r="F311" s="33" t="s">
        <v>71</v>
      </c>
      <c r="G311" s="17" t="s">
        <v>514</v>
      </c>
      <c r="H311" s="29"/>
    </row>
    <row r="312" spans="1:8" ht="31.5">
      <c r="A312" s="28">
        <v>45924</v>
      </c>
      <c r="B312" s="16" t="s">
        <v>75</v>
      </c>
      <c r="C312" s="16" t="s">
        <v>15</v>
      </c>
      <c r="D312" s="16" t="s">
        <v>496</v>
      </c>
      <c r="E312" s="16" t="s">
        <v>40</v>
      </c>
      <c r="F312" s="33" t="s">
        <v>71</v>
      </c>
      <c r="G312" s="17" t="s">
        <v>509</v>
      </c>
      <c r="H312" s="29"/>
    </row>
    <row r="313" spans="1:8" ht="31.5">
      <c r="A313" s="28">
        <v>45924</v>
      </c>
      <c r="B313" s="16" t="s">
        <v>75</v>
      </c>
      <c r="C313" s="16" t="s">
        <v>477</v>
      </c>
      <c r="D313" s="16" t="s">
        <v>498</v>
      </c>
      <c r="E313" s="16" t="s">
        <v>40</v>
      </c>
      <c r="F313" s="33" t="s">
        <v>71</v>
      </c>
      <c r="G313" s="17" t="s">
        <v>515</v>
      </c>
      <c r="H313" s="29"/>
    </row>
    <row r="314" spans="1:8">
      <c r="A314" s="28">
        <v>45924</v>
      </c>
      <c r="B314" s="16" t="s">
        <v>76</v>
      </c>
      <c r="C314" s="16" t="s">
        <v>15</v>
      </c>
      <c r="D314" s="16" t="s">
        <v>499</v>
      </c>
      <c r="E314" s="16" t="s">
        <v>40</v>
      </c>
      <c r="F314" s="33" t="s">
        <v>77</v>
      </c>
      <c r="G314" s="17" t="s">
        <v>510</v>
      </c>
      <c r="H314" s="29"/>
    </row>
    <row r="315" spans="1:8">
      <c r="A315" s="28">
        <v>45924</v>
      </c>
      <c r="B315" s="16" t="s">
        <v>75</v>
      </c>
      <c r="C315" s="16" t="s">
        <v>15</v>
      </c>
      <c r="D315" s="16" t="s">
        <v>500</v>
      </c>
      <c r="E315" s="16" t="s">
        <v>40</v>
      </c>
      <c r="F315" s="33" t="s">
        <v>71</v>
      </c>
      <c r="G315" s="17" t="s">
        <v>516</v>
      </c>
      <c r="H315" s="29"/>
    </row>
    <row r="316" spans="1:8" ht="63">
      <c r="A316" s="28">
        <v>45925</v>
      </c>
      <c r="B316" s="16" t="s">
        <v>76</v>
      </c>
      <c r="C316" s="16" t="s">
        <v>176</v>
      </c>
      <c r="D316" s="16" t="s">
        <v>469</v>
      </c>
      <c r="E316" s="16" t="s">
        <v>40</v>
      </c>
      <c r="F316" s="33" t="s">
        <v>77</v>
      </c>
      <c r="G316" s="17" t="s">
        <v>525</v>
      </c>
      <c r="H316" s="29"/>
    </row>
    <row r="317" spans="1:8" ht="31.5">
      <c r="A317" s="28">
        <v>45925</v>
      </c>
      <c r="B317" s="16" t="s">
        <v>76</v>
      </c>
      <c r="C317" s="16" t="s">
        <v>49</v>
      </c>
      <c r="D317" s="16" t="s">
        <v>195</v>
      </c>
      <c r="E317" s="16" t="s">
        <v>40</v>
      </c>
      <c r="F317" s="33" t="s">
        <v>77</v>
      </c>
      <c r="G317" s="17" t="s">
        <v>526</v>
      </c>
      <c r="H317" s="29"/>
    </row>
    <row r="318" spans="1:8" ht="45.6" customHeight="1">
      <c r="A318" s="28">
        <v>45925</v>
      </c>
      <c r="B318" s="16" t="s">
        <v>75</v>
      </c>
      <c r="C318" s="16" t="s">
        <v>15</v>
      </c>
      <c r="D318" s="16" t="s">
        <v>522</v>
      </c>
      <c r="E318" s="16" t="s">
        <v>40</v>
      </c>
      <c r="F318" s="33" t="s">
        <v>71</v>
      </c>
      <c r="G318" s="17" t="s">
        <v>527</v>
      </c>
      <c r="H318" s="29"/>
    </row>
    <row r="319" spans="1:8" ht="31.5">
      <c r="A319" s="28">
        <v>45926</v>
      </c>
      <c r="B319" s="16" t="s">
        <v>75</v>
      </c>
      <c r="C319" s="16" t="s">
        <v>477</v>
      </c>
      <c r="D319" s="16" t="s">
        <v>523</v>
      </c>
      <c r="E319" s="16" t="s">
        <v>41</v>
      </c>
      <c r="F319" s="33" t="s">
        <v>71</v>
      </c>
      <c r="G319" s="17" t="s">
        <v>528</v>
      </c>
      <c r="H319" s="29"/>
    </row>
    <row r="320" spans="1:8" ht="47.25">
      <c r="A320" s="28">
        <v>45926</v>
      </c>
      <c r="B320" s="16" t="s">
        <v>75</v>
      </c>
      <c r="C320" s="16" t="s">
        <v>15</v>
      </c>
      <c r="D320" s="16" t="s">
        <v>524</v>
      </c>
      <c r="E320" s="16" t="s">
        <v>40</v>
      </c>
      <c r="F320" s="33" t="s">
        <v>71</v>
      </c>
      <c r="G320" s="17" t="s">
        <v>530</v>
      </c>
      <c r="H320" s="29"/>
    </row>
    <row r="321" spans="1:8">
      <c r="A321" s="28">
        <v>45926</v>
      </c>
      <c r="B321" s="16" t="s">
        <v>75</v>
      </c>
      <c r="C321" s="16" t="s">
        <v>15</v>
      </c>
      <c r="D321" s="16" t="s">
        <v>529</v>
      </c>
      <c r="E321" s="16" t="s">
        <v>40</v>
      </c>
      <c r="F321" s="33" t="s">
        <v>71</v>
      </c>
      <c r="G321" s="17" t="s">
        <v>531</v>
      </c>
      <c r="H321" s="29"/>
    </row>
    <row r="322" spans="1:8" ht="16.5" thickBot="1">
      <c r="A322" s="31"/>
      <c r="B322" s="20"/>
      <c r="C322" s="20"/>
      <c r="D322" s="20"/>
      <c r="E322" s="20"/>
      <c r="F322" s="20"/>
      <c r="G322" s="20"/>
      <c r="H322" s="30"/>
    </row>
    <row r="323" spans="1:8" ht="16.5" thickBot="1"/>
    <row r="324" spans="1:8">
      <c r="A324" s="3" t="s">
        <v>70</v>
      </c>
      <c r="B324" s="4" t="s">
        <v>72</v>
      </c>
      <c r="C324" s="4" t="s">
        <v>16</v>
      </c>
      <c r="D324" s="34" t="s">
        <v>155</v>
      </c>
      <c r="E324" s="9" t="s">
        <v>156</v>
      </c>
      <c r="F324" s="10" t="s">
        <v>157</v>
      </c>
    </row>
    <row r="325" spans="1:8">
      <c r="A325" s="122" t="s">
        <v>63</v>
      </c>
      <c r="B325" s="16" t="s">
        <v>68</v>
      </c>
      <c r="C325" s="16">
        <v>2</v>
      </c>
      <c r="D325" s="16">
        <v>2</v>
      </c>
      <c r="E325" s="123">
        <f>D325+D327+D329</f>
        <v>3.666666666666667</v>
      </c>
      <c r="F325" s="124">
        <f>E325/12</f>
        <v>0.30555555555555558</v>
      </c>
    </row>
    <row r="326" spans="1:8">
      <c r="A326" s="122"/>
      <c r="B326" s="125" t="s">
        <v>65</v>
      </c>
      <c r="C326" s="125">
        <v>5</v>
      </c>
      <c r="D326" s="35" t="s">
        <v>158</v>
      </c>
      <c r="E326" s="123"/>
      <c r="F326" s="124"/>
    </row>
    <row r="327" spans="1:8">
      <c r="A327" s="122"/>
      <c r="B327" s="125"/>
      <c r="C327" s="125"/>
      <c r="D327" s="16">
        <f>C326/3</f>
        <v>1.6666666666666667</v>
      </c>
      <c r="E327" s="123"/>
      <c r="F327" s="124"/>
    </row>
    <row r="328" spans="1:8">
      <c r="A328" s="122"/>
      <c r="B328" s="125" t="s">
        <v>69</v>
      </c>
      <c r="C328" s="125">
        <v>3</v>
      </c>
      <c r="D328" s="35" t="s">
        <v>159</v>
      </c>
      <c r="E328" s="123"/>
      <c r="F328" s="124"/>
    </row>
    <row r="329" spans="1:8">
      <c r="A329" s="122"/>
      <c r="B329" s="125"/>
      <c r="C329" s="125"/>
      <c r="D329" s="16">
        <v>0</v>
      </c>
      <c r="E329" s="123"/>
      <c r="F329" s="124"/>
    </row>
    <row r="330" spans="1:8">
      <c r="A330" s="36" t="s">
        <v>70</v>
      </c>
      <c r="B330" s="37" t="s">
        <v>72</v>
      </c>
      <c r="C330" s="37" t="s">
        <v>16</v>
      </c>
      <c r="D330" s="126" t="s">
        <v>160</v>
      </c>
      <c r="E330" s="126"/>
      <c r="F330" s="127"/>
    </row>
    <row r="331" spans="1:8">
      <c r="A331" s="122" t="s">
        <v>62</v>
      </c>
      <c r="B331" s="16" t="s">
        <v>68</v>
      </c>
      <c r="C331" s="16">
        <v>9</v>
      </c>
      <c r="D331" s="129">
        <f>C331/9</f>
        <v>1</v>
      </c>
      <c r="E331" s="129"/>
      <c r="F331" s="124"/>
    </row>
    <row r="332" spans="1:8" ht="16.5" thickBot="1">
      <c r="A332" s="128"/>
      <c r="B332" s="20" t="s">
        <v>69</v>
      </c>
      <c r="C332" s="20">
        <v>6</v>
      </c>
      <c r="D332" s="130"/>
      <c r="E332" s="130"/>
      <c r="F332" s="131"/>
    </row>
    <row r="334" spans="1:8" ht="16.5" thickBot="1">
      <c r="A334" s="14" t="s">
        <v>452</v>
      </c>
    </row>
    <row r="335" spans="1:8">
      <c r="A335" s="3" t="s">
        <v>58</v>
      </c>
      <c r="B335" s="4" t="s">
        <v>67</v>
      </c>
      <c r="C335" s="4" t="s">
        <v>3</v>
      </c>
      <c r="D335" s="4" t="s">
        <v>57</v>
      </c>
      <c r="E335" s="4" t="s">
        <v>59</v>
      </c>
      <c r="F335" s="4" t="s">
        <v>61</v>
      </c>
      <c r="G335" s="4" t="s">
        <v>60</v>
      </c>
      <c r="H335" s="5" t="s">
        <v>66</v>
      </c>
    </row>
    <row r="336" spans="1:8">
      <c r="A336" s="28">
        <v>45931</v>
      </c>
      <c r="B336" s="16" t="s">
        <v>76</v>
      </c>
      <c r="C336" s="16" t="s">
        <v>49</v>
      </c>
      <c r="D336" s="16" t="s">
        <v>373</v>
      </c>
      <c r="E336" s="16" t="s">
        <v>41</v>
      </c>
      <c r="F336" s="33" t="s">
        <v>64</v>
      </c>
      <c r="G336" s="17" t="s">
        <v>543</v>
      </c>
      <c r="H336" s="29"/>
    </row>
    <row r="337" spans="1:8">
      <c r="A337" s="28">
        <v>45931</v>
      </c>
      <c r="B337" s="16" t="s">
        <v>75</v>
      </c>
      <c r="C337" s="16" t="s">
        <v>15</v>
      </c>
      <c r="D337" s="16" t="s">
        <v>134</v>
      </c>
      <c r="E337" s="16" t="s">
        <v>41</v>
      </c>
      <c r="F337" s="33" t="s">
        <v>77</v>
      </c>
      <c r="G337" s="17" t="s">
        <v>129</v>
      </c>
      <c r="H337" s="29"/>
    </row>
    <row r="338" spans="1:8">
      <c r="A338" s="28">
        <v>45931</v>
      </c>
      <c r="B338" s="16" t="s">
        <v>75</v>
      </c>
      <c r="C338" s="16" t="s">
        <v>42</v>
      </c>
      <c r="D338" s="16" t="s">
        <v>534</v>
      </c>
      <c r="E338" s="16" t="s">
        <v>41</v>
      </c>
      <c r="F338" s="33" t="s">
        <v>77</v>
      </c>
      <c r="G338" s="17" t="s">
        <v>544</v>
      </c>
      <c r="H338" s="29"/>
    </row>
    <row r="339" spans="1:8" ht="94.5">
      <c r="A339" s="28">
        <v>45931</v>
      </c>
      <c r="B339" s="16" t="s">
        <v>75</v>
      </c>
      <c r="C339" s="16" t="s">
        <v>532</v>
      </c>
      <c r="D339" s="16" t="s">
        <v>539</v>
      </c>
      <c r="E339" s="16" t="s">
        <v>40</v>
      </c>
      <c r="F339" s="33" t="s">
        <v>71</v>
      </c>
      <c r="G339" s="17" t="s">
        <v>545</v>
      </c>
      <c r="H339" s="29"/>
    </row>
    <row r="340" spans="1:8" ht="63">
      <c r="A340" s="28">
        <v>45931</v>
      </c>
      <c r="B340" s="16" t="s">
        <v>75</v>
      </c>
      <c r="C340" s="16" t="s">
        <v>535</v>
      </c>
      <c r="D340" s="16" t="s">
        <v>540</v>
      </c>
      <c r="E340" s="16" t="s">
        <v>40</v>
      </c>
      <c r="F340" s="33" t="s">
        <v>77</v>
      </c>
      <c r="G340" s="17" t="s">
        <v>546</v>
      </c>
      <c r="H340" s="29"/>
    </row>
    <row r="341" spans="1:8" ht="110.25">
      <c r="A341" s="28">
        <v>45931</v>
      </c>
      <c r="B341" s="16" t="s">
        <v>197</v>
      </c>
      <c r="C341" s="16" t="s">
        <v>533</v>
      </c>
      <c r="D341" s="16" t="s">
        <v>541</v>
      </c>
      <c r="E341" s="16" t="s">
        <v>40</v>
      </c>
      <c r="F341" s="33" t="s">
        <v>71</v>
      </c>
      <c r="G341" s="17" t="s">
        <v>547</v>
      </c>
      <c r="H341" s="29"/>
    </row>
    <row r="342" spans="1:8">
      <c r="A342" s="28">
        <v>45932</v>
      </c>
      <c r="B342" s="16" t="s">
        <v>75</v>
      </c>
      <c r="C342" s="16" t="s">
        <v>333</v>
      </c>
      <c r="D342" s="16" t="s">
        <v>334</v>
      </c>
      <c r="E342" s="16" t="s">
        <v>41</v>
      </c>
      <c r="F342" s="33" t="s">
        <v>64</v>
      </c>
      <c r="G342" s="17" t="s">
        <v>548</v>
      </c>
      <c r="H342" s="29"/>
    </row>
    <row r="343" spans="1:8">
      <c r="A343" s="28">
        <v>45932</v>
      </c>
      <c r="B343" s="16" t="s">
        <v>75</v>
      </c>
      <c r="C343" s="16" t="s">
        <v>536</v>
      </c>
      <c r="D343" s="16" t="s">
        <v>174</v>
      </c>
      <c r="E343" s="16" t="s">
        <v>41</v>
      </c>
      <c r="F343" s="33" t="s">
        <v>64</v>
      </c>
      <c r="G343" s="17" t="s">
        <v>549</v>
      </c>
      <c r="H343" s="29"/>
    </row>
    <row r="344" spans="1:8">
      <c r="A344" s="28">
        <v>45932</v>
      </c>
      <c r="B344" s="16" t="s">
        <v>75</v>
      </c>
      <c r="C344" s="16" t="s">
        <v>15</v>
      </c>
      <c r="D344" s="16" t="s">
        <v>134</v>
      </c>
      <c r="E344" s="16" t="s">
        <v>41</v>
      </c>
      <c r="F344" s="33" t="s">
        <v>64</v>
      </c>
      <c r="G344" s="17" t="s">
        <v>550</v>
      </c>
      <c r="H344" s="29"/>
    </row>
    <row r="345" spans="1:8" ht="31.5">
      <c r="A345" s="28">
        <v>45932</v>
      </c>
      <c r="B345" s="16" t="s">
        <v>75</v>
      </c>
      <c r="C345" s="16" t="s">
        <v>295</v>
      </c>
      <c r="D345" s="16" t="s">
        <v>296</v>
      </c>
      <c r="E345" s="16" t="s">
        <v>40</v>
      </c>
      <c r="F345" s="33" t="s">
        <v>71</v>
      </c>
      <c r="G345" s="17" t="s">
        <v>551</v>
      </c>
      <c r="H345" s="29"/>
    </row>
    <row r="346" spans="1:8" ht="31.5">
      <c r="A346" s="28">
        <v>45932</v>
      </c>
      <c r="B346" s="16" t="s">
        <v>76</v>
      </c>
      <c r="C346" s="16" t="s">
        <v>407</v>
      </c>
      <c r="D346" s="16" t="s">
        <v>542</v>
      </c>
      <c r="E346" s="16" t="s">
        <v>40</v>
      </c>
      <c r="F346" s="33" t="s">
        <v>71</v>
      </c>
      <c r="G346" s="17" t="s">
        <v>552</v>
      </c>
      <c r="H346" s="29"/>
    </row>
    <row r="347" spans="1:8" ht="63">
      <c r="A347" s="28">
        <v>45933</v>
      </c>
      <c r="B347" s="16" t="s">
        <v>75</v>
      </c>
      <c r="C347" s="16" t="s">
        <v>15</v>
      </c>
      <c r="D347" s="16" t="s">
        <v>145</v>
      </c>
      <c r="E347" s="16" t="s">
        <v>40</v>
      </c>
      <c r="F347" s="33" t="s">
        <v>71</v>
      </c>
      <c r="G347" s="17" t="s">
        <v>553</v>
      </c>
      <c r="H347" s="29"/>
    </row>
    <row r="348" spans="1:8" ht="31.5">
      <c r="A348" s="28">
        <v>45933</v>
      </c>
      <c r="B348" s="16" t="s">
        <v>75</v>
      </c>
      <c r="C348" s="16" t="s">
        <v>15</v>
      </c>
      <c r="D348" s="16" t="s">
        <v>134</v>
      </c>
      <c r="E348" s="16" t="s">
        <v>40</v>
      </c>
      <c r="F348" s="33" t="s">
        <v>71</v>
      </c>
      <c r="G348" s="17" t="s">
        <v>554</v>
      </c>
      <c r="H348" s="29"/>
    </row>
    <row r="349" spans="1:8">
      <c r="A349" s="28">
        <v>45933</v>
      </c>
      <c r="B349" s="16" t="s">
        <v>75</v>
      </c>
      <c r="C349" s="16" t="s">
        <v>15</v>
      </c>
      <c r="D349" s="16" t="s">
        <v>537</v>
      </c>
      <c r="E349" s="16" t="s">
        <v>41</v>
      </c>
      <c r="F349" s="33" t="s">
        <v>77</v>
      </c>
      <c r="G349" s="17" t="s">
        <v>399</v>
      </c>
      <c r="H349" s="29"/>
    </row>
    <row r="350" spans="1:8">
      <c r="A350" s="28">
        <v>45933</v>
      </c>
      <c r="B350" s="16" t="s">
        <v>75</v>
      </c>
      <c r="C350" s="16" t="s">
        <v>15</v>
      </c>
      <c r="D350" s="16" t="s">
        <v>538</v>
      </c>
      <c r="E350" s="16" t="s">
        <v>41</v>
      </c>
      <c r="F350" s="33" t="s">
        <v>64</v>
      </c>
      <c r="G350" s="17" t="s">
        <v>555</v>
      </c>
      <c r="H350" s="29"/>
    </row>
    <row r="351" spans="1:8" ht="31.5">
      <c r="A351" s="28">
        <v>45933</v>
      </c>
      <c r="B351" s="16" t="s">
        <v>75</v>
      </c>
      <c r="C351" s="16" t="s">
        <v>333</v>
      </c>
      <c r="D351" s="16" t="s">
        <v>334</v>
      </c>
      <c r="E351" s="16" t="s">
        <v>40</v>
      </c>
      <c r="F351" s="33" t="s">
        <v>71</v>
      </c>
      <c r="G351" s="17" t="s">
        <v>556</v>
      </c>
      <c r="H351" s="29"/>
    </row>
    <row r="352" spans="1:8" ht="31.5">
      <c r="A352" s="28">
        <v>45933</v>
      </c>
      <c r="B352" s="16" t="s">
        <v>75</v>
      </c>
      <c r="C352" s="16" t="s">
        <v>536</v>
      </c>
      <c r="D352" s="16" t="s">
        <v>174</v>
      </c>
      <c r="E352" s="16" t="s">
        <v>40</v>
      </c>
      <c r="F352" s="33" t="s">
        <v>71</v>
      </c>
      <c r="G352" s="17" t="s">
        <v>557</v>
      </c>
      <c r="H352" s="29"/>
    </row>
    <row r="353" spans="1:8" ht="16.5" thickBot="1">
      <c r="A353" s="31"/>
      <c r="B353" s="20"/>
      <c r="C353" s="20"/>
      <c r="D353" s="20"/>
      <c r="E353" s="20"/>
      <c r="F353" s="20"/>
      <c r="G353" s="20"/>
      <c r="H353" s="30"/>
    </row>
    <row r="354" spans="1:8" ht="16.5" thickBot="1"/>
    <row r="355" spans="1:8">
      <c r="A355" s="3" t="s">
        <v>70</v>
      </c>
      <c r="B355" s="4" t="s">
        <v>72</v>
      </c>
      <c r="C355" s="4" t="s">
        <v>16</v>
      </c>
      <c r="D355" s="34" t="s">
        <v>155</v>
      </c>
      <c r="E355" s="9" t="s">
        <v>156</v>
      </c>
      <c r="F355" s="10" t="s">
        <v>157</v>
      </c>
    </row>
    <row r="356" spans="1:8">
      <c r="A356" s="122" t="s">
        <v>63</v>
      </c>
      <c r="B356" s="16" t="s">
        <v>68</v>
      </c>
      <c r="C356" s="16">
        <v>0</v>
      </c>
      <c r="D356" s="16">
        <v>0</v>
      </c>
      <c r="E356" s="123">
        <f>D356+D358+D360</f>
        <v>1.6666666666666667</v>
      </c>
      <c r="F356" s="124">
        <f>E356/12</f>
        <v>0.1388888888888889</v>
      </c>
    </row>
    <row r="357" spans="1:8">
      <c r="A357" s="122"/>
      <c r="B357" s="125" t="s">
        <v>65</v>
      </c>
      <c r="C357" s="125">
        <v>5</v>
      </c>
      <c r="D357" s="35" t="s">
        <v>158</v>
      </c>
      <c r="E357" s="123"/>
      <c r="F357" s="124"/>
    </row>
    <row r="358" spans="1:8">
      <c r="A358" s="122"/>
      <c r="B358" s="125"/>
      <c r="C358" s="125"/>
      <c r="D358" s="16">
        <f>C357/3</f>
        <v>1.6666666666666667</v>
      </c>
      <c r="E358" s="123"/>
      <c r="F358" s="124"/>
    </row>
    <row r="359" spans="1:8">
      <c r="A359" s="122"/>
      <c r="B359" s="125" t="s">
        <v>69</v>
      </c>
      <c r="C359" s="125">
        <v>3</v>
      </c>
      <c r="D359" s="35" t="s">
        <v>159</v>
      </c>
      <c r="E359" s="123"/>
      <c r="F359" s="124"/>
    </row>
    <row r="360" spans="1:8">
      <c r="A360" s="122"/>
      <c r="B360" s="125"/>
      <c r="C360" s="125"/>
      <c r="D360" s="16">
        <v>0</v>
      </c>
      <c r="E360" s="123"/>
      <c r="F360" s="124"/>
    </row>
    <row r="361" spans="1:8">
      <c r="A361" s="36" t="s">
        <v>70</v>
      </c>
      <c r="B361" s="37" t="s">
        <v>72</v>
      </c>
      <c r="C361" s="37" t="s">
        <v>16</v>
      </c>
      <c r="D361" s="126" t="s">
        <v>160</v>
      </c>
      <c r="E361" s="126"/>
      <c r="F361" s="127"/>
    </row>
    <row r="362" spans="1:8">
      <c r="A362" s="122" t="s">
        <v>62</v>
      </c>
      <c r="B362" s="16" t="s">
        <v>68</v>
      </c>
      <c r="C362" s="16">
        <v>8</v>
      </c>
      <c r="D362" s="129">
        <f>C362/9</f>
        <v>0.88888888888888884</v>
      </c>
      <c r="E362" s="129"/>
      <c r="F362" s="124"/>
    </row>
    <row r="363" spans="1:8" ht="16.5" thickBot="1">
      <c r="A363" s="128"/>
      <c r="B363" s="20" t="s">
        <v>69</v>
      </c>
      <c r="C363" s="20">
        <v>1</v>
      </c>
      <c r="D363" s="130"/>
      <c r="E363" s="130"/>
      <c r="F363" s="131"/>
    </row>
    <row r="365" spans="1:8" ht="16.5" thickBot="1">
      <c r="A365" s="14" t="s">
        <v>558</v>
      </c>
    </row>
    <row r="366" spans="1:8">
      <c r="A366" s="3" t="s">
        <v>58</v>
      </c>
      <c r="B366" s="4" t="s">
        <v>67</v>
      </c>
      <c r="C366" s="4" t="s">
        <v>3</v>
      </c>
      <c r="D366" s="4" t="s">
        <v>57</v>
      </c>
      <c r="E366" s="4" t="s">
        <v>59</v>
      </c>
      <c r="F366" s="4" t="s">
        <v>61</v>
      </c>
      <c r="G366" s="4" t="s">
        <v>60</v>
      </c>
      <c r="H366" s="5" t="s">
        <v>66</v>
      </c>
    </row>
    <row r="367" spans="1:8">
      <c r="A367" s="28">
        <v>45943</v>
      </c>
      <c r="B367" s="16" t="s">
        <v>75</v>
      </c>
      <c r="C367" s="16" t="s">
        <v>14</v>
      </c>
      <c r="D367" s="16" t="s">
        <v>142</v>
      </c>
      <c r="E367" s="16" t="s">
        <v>41</v>
      </c>
      <c r="F367" s="33" t="s">
        <v>77</v>
      </c>
      <c r="G367" s="17" t="s">
        <v>129</v>
      </c>
      <c r="H367" s="29"/>
    </row>
    <row r="368" spans="1:8" ht="31.5">
      <c r="A368" s="28">
        <v>45943</v>
      </c>
      <c r="B368" s="16" t="s">
        <v>75</v>
      </c>
      <c r="C368" s="16" t="s">
        <v>73</v>
      </c>
      <c r="D368" s="16" t="s">
        <v>164</v>
      </c>
      <c r="E368" s="16" t="s">
        <v>41</v>
      </c>
      <c r="F368" s="33" t="s">
        <v>77</v>
      </c>
      <c r="G368" s="17" t="s">
        <v>573</v>
      </c>
      <c r="H368" s="29"/>
    </row>
    <row r="369" spans="1:8">
      <c r="A369" s="28">
        <v>45943</v>
      </c>
      <c r="B369" s="16" t="s">
        <v>76</v>
      </c>
      <c r="C369" s="16" t="s">
        <v>49</v>
      </c>
      <c r="D369" s="16" t="s">
        <v>373</v>
      </c>
      <c r="E369" s="16" t="s">
        <v>41</v>
      </c>
      <c r="F369" s="33" t="s">
        <v>77</v>
      </c>
      <c r="G369" s="17" t="s">
        <v>574</v>
      </c>
      <c r="H369" s="29"/>
    </row>
    <row r="370" spans="1:8">
      <c r="A370" s="28">
        <v>45943</v>
      </c>
      <c r="B370" s="16" t="s">
        <v>197</v>
      </c>
      <c r="C370" s="16" t="s">
        <v>15</v>
      </c>
      <c r="D370" s="16" t="s">
        <v>559</v>
      </c>
      <c r="E370" s="16" t="s">
        <v>41</v>
      </c>
      <c r="F370" s="33" t="s">
        <v>64</v>
      </c>
      <c r="G370" s="17" t="s">
        <v>575</v>
      </c>
      <c r="H370" s="29"/>
    </row>
    <row r="371" spans="1:8">
      <c r="A371" s="28">
        <v>45943</v>
      </c>
      <c r="B371" s="16" t="s">
        <v>75</v>
      </c>
      <c r="C371" s="16" t="s">
        <v>15</v>
      </c>
      <c r="D371" s="16" t="s">
        <v>560</v>
      </c>
      <c r="E371" s="16" t="s">
        <v>41</v>
      </c>
      <c r="F371" s="33" t="s">
        <v>64</v>
      </c>
      <c r="G371" s="17" t="s">
        <v>576</v>
      </c>
      <c r="H371" s="29"/>
    </row>
    <row r="372" spans="1:8">
      <c r="A372" s="28">
        <v>45943</v>
      </c>
      <c r="B372" s="16" t="s">
        <v>75</v>
      </c>
      <c r="C372" s="16" t="s">
        <v>561</v>
      </c>
      <c r="D372" s="16" t="s">
        <v>562</v>
      </c>
      <c r="E372" s="16" t="s">
        <v>41</v>
      </c>
      <c r="F372" s="33" t="s">
        <v>77</v>
      </c>
      <c r="G372" s="17" t="s">
        <v>129</v>
      </c>
      <c r="H372" s="29"/>
    </row>
    <row r="373" spans="1:8" ht="94.5">
      <c r="A373" s="28">
        <v>45944</v>
      </c>
      <c r="B373" s="16" t="s">
        <v>91</v>
      </c>
      <c r="C373" s="16" t="s">
        <v>111</v>
      </c>
      <c r="D373" s="16" t="s">
        <v>563</v>
      </c>
      <c r="E373" s="16" t="s">
        <v>40</v>
      </c>
      <c r="F373" s="33" t="s">
        <v>71</v>
      </c>
      <c r="G373" s="17" t="s">
        <v>577</v>
      </c>
      <c r="H373" s="29"/>
    </row>
    <row r="374" spans="1:8">
      <c r="A374" s="28">
        <v>45944</v>
      </c>
      <c r="B374" s="16" t="s">
        <v>75</v>
      </c>
      <c r="C374" s="16" t="s">
        <v>15</v>
      </c>
      <c r="D374" s="16" t="s">
        <v>538</v>
      </c>
      <c r="E374" s="16" t="s">
        <v>41</v>
      </c>
      <c r="F374" s="33" t="s">
        <v>77</v>
      </c>
      <c r="G374" s="17" t="s">
        <v>129</v>
      </c>
      <c r="H374" s="29"/>
    </row>
    <row r="375" spans="1:8" ht="63">
      <c r="A375" s="28">
        <v>45944</v>
      </c>
      <c r="B375" s="16" t="s">
        <v>75</v>
      </c>
      <c r="C375" s="16" t="s">
        <v>15</v>
      </c>
      <c r="D375" s="16" t="s">
        <v>560</v>
      </c>
      <c r="E375" s="16" t="s">
        <v>40</v>
      </c>
      <c r="F375" s="33" t="s">
        <v>71</v>
      </c>
      <c r="G375" s="17" t="s">
        <v>578</v>
      </c>
      <c r="H375" s="29"/>
    </row>
    <row r="376" spans="1:8" ht="47.25">
      <c r="A376" s="28">
        <v>45944</v>
      </c>
      <c r="B376" s="16" t="s">
        <v>75</v>
      </c>
      <c r="C376" s="16" t="s">
        <v>15</v>
      </c>
      <c r="D376" s="16" t="s">
        <v>134</v>
      </c>
      <c r="E376" s="16" t="s">
        <v>41</v>
      </c>
      <c r="F376" s="33" t="s">
        <v>71</v>
      </c>
      <c r="G376" s="17" t="s">
        <v>579</v>
      </c>
      <c r="H376" s="29"/>
    </row>
    <row r="377" spans="1:8" ht="78.75">
      <c r="A377" s="28">
        <v>45944</v>
      </c>
      <c r="B377" s="16" t="s">
        <v>197</v>
      </c>
      <c r="C377" s="16" t="s">
        <v>15</v>
      </c>
      <c r="D377" s="16" t="s">
        <v>559</v>
      </c>
      <c r="E377" s="16" t="s">
        <v>40</v>
      </c>
      <c r="F377" s="33" t="s">
        <v>77</v>
      </c>
      <c r="G377" s="17" t="s">
        <v>580</v>
      </c>
      <c r="H377" s="29"/>
    </row>
    <row r="378" spans="1:8" ht="31.5">
      <c r="A378" s="28">
        <v>45945</v>
      </c>
      <c r="B378" s="16" t="s">
        <v>197</v>
      </c>
      <c r="C378" s="16" t="s">
        <v>333</v>
      </c>
      <c r="D378" s="16" t="s">
        <v>523</v>
      </c>
      <c r="E378" s="16" t="s">
        <v>41</v>
      </c>
      <c r="F378" s="33" t="s">
        <v>71</v>
      </c>
      <c r="G378" s="17" t="s">
        <v>581</v>
      </c>
      <c r="H378" s="29"/>
    </row>
    <row r="379" spans="1:8" ht="31.5">
      <c r="A379" s="28">
        <v>45945</v>
      </c>
      <c r="B379" s="16" t="s">
        <v>75</v>
      </c>
      <c r="C379" s="16" t="s">
        <v>14</v>
      </c>
      <c r="D379" s="16" t="s">
        <v>142</v>
      </c>
      <c r="E379" s="16" t="s">
        <v>41</v>
      </c>
      <c r="F379" s="33" t="s">
        <v>77</v>
      </c>
      <c r="G379" s="17" t="s">
        <v>582</v>
      </c>
      <c r="H379" s="29"/>
    </row>
    <row r="380" spans="1:8" ht="31.5">
      <c r="A380" s="28">
        <v>45945</v>
      </c>
      <c r="B380" s="16" t="s">
        <v>75</v>
      </c>
      <c r="C380" s="16" t="s">
        <v>561</v>
      </c>
      <c r="D380" s="16" t="s">
        <v>564</v>
      </c>
      <c r="E380" s="16" t="s">
        <v>41</v>
      </c>
      <c r="F380" s="33" t="s">
        <v>77</v>
      </c>
      <c r="G380" s="17" t="s">
        <v>583</v>
      </c>
      <c r="H380" s="29"/>
    </row>
    <row r="381" spans="1:8" ht="31.5">
      <c r="A381" s="28">
        <v>45945</v>
      </c>
      <c r="B381" s="16" t="s">
        <v>75</v>
      </c>
      <c r="C381" s="16" t="s">
        <v>561</v>
      </c>
      <c r="D381" s="16" t="s">
        <v>565</v>
      </c>
      <c r="E381" s="16" t="s">
        <v>41</v>
      </c>
      <c r="F381" s="33" t="s">
        <v>64</v>
      </c>
      <c r="G381" s="17" t="s">
        <v>584</v>
      </c>
      <c r="H381" s="29"/>
    </row>
    <row r="382" spans="1:8">
      <c r="A382" s="28">
        <v>45945</v>
      </c>
      <c r="B382" s="16" t="s">
        <v>91</v>
      </c>
      <c r="C382" s="16" t="s">
        <v>111</v>
      </c>
      <c r="D382" s="16" t="s">
        <v>563</v>
      </c>
      <c r="E382" s="16" t="s">
        <v>41</v>
      </c>
      <c r="F382" s="33" t="s">
        <v>77</v>
      </c>
      <c r="G382" s="17" t="s">
        <v>129</v>
      </c>
      <c r="H382" s="29"/>
    </row>
    <row r="383" spans="1:8">
      <c r="A383" s="28">
        <v>45945</v>
      </c>
      <c r="B383" s="16" t="s">
        <v>75</v>
      </c>
      <c r="C383" s="16" t="s">
        <v>15</v>
      </c>
      <c r="D383" s="16" t="s">
        <v>566</v>
      </c>
      <c r="E383" s="16" t="s">
        <v>41</v>
      </c>
      <c r="F383" s="33" t="s">
        <v>77</v>
      </c>
      <c r="G383" s="17" t="s">
        <v>129</v>
      </c>
      <c r="H383" s="29"/>
    </row>
    <row r="384" spans="1:8">
      <c r="A384" s="28">
        <v>45945</v>
      </c>
      <c r="B384" s="16" t="s">
        <v>75</v>
      </c>
      <c r="C384" s="16" t="s">
        <v>15</v>
      </c>
      <c r="D384" s="16" t="s">
        <v>567</v>
      </c>
      <c r="E384" s="16" t="s">
        <v>41</v>
      </c>
      <c r="F384" s="33" t="s">
        <v>77</v>
      </c>
      <c r="G384" s="17" t="s">
        <v>129</v>
      </c>
      <c r="H384" s="29"/>
    </row>
    <row r="385" spans="1:8" ht="47.25">
      <c r="A385" s="28">
        <v>45945</v>
      </c>
      <c r="B385" s="16" t="s">
        <v>75</v>
      </c>
      <c r="C385" s="16" t="s">
        <v>15</v>
      </c>
      <c r="D385" s="16" t="s">
        <v>455</v>
      </c>
      <c r="E385" s="16" t="s">
        <v>41</v>
      </c>
      <c r="F385" s="33" t="s">
        <v>71</v>
      </c>
      <c r="G385" s="17" t="s">
        <v>585</v>
      </c>
      <c r="H385" s="29"/>
    </row>
    <row r="386" spans="1:8">
      <c r="A386" s="28">
        <v>45945</v>
      </c>
      <c r="B386" s="16" t="s">
        <v>75</v>
      </c>
      <c r="C386" s="16" t="s">
        <v>458</v>
      </c>
      <c r="D386" s="16" t="s">
        <v>568</v>
      </c>
      <c r="E386" s="16" t="s">
        <v>41</v>
      </c>
      <c r="F386" s="33" t="s">
        <v>77</v>
      </c>
      <c r="G386" s="17" t="s">
        <v>129</v>
      </c>
      <c r="H386" s="29"/>
    </row>
    <row r="387" spans="1:8" ht="63">
      <c r="A387" s="28">
        <v>45945</v>
      </c>
      <c r="B387" s="16" t="s">
        <v>197</v>
      </c>
      <c r="C387" s="16" t="s">
        <v>458</v>
      </c>
      <c r="D387" s="16" t="s">
        <v>460</v>
      </c>
      <c r="E387" s="16" t="s">
        <v>41</v>
      </c>
      <c r="F387" s="33" t="s">
        <v>77</v>
      </c>
      <c r="G387" s="17" t="s">
        <v>586</v>
      </c>
      <c r="H387" s="29"/>
    </row>
    <row r="388" spans="1:8" ht="31.5">
      <c r="A388" s="28">
        <v>45945</v>
      </c>
      <c r="B388" s="16" t="s">
        <v>197</v>
      </c>
      <c r="C388" s="16" t="s">
        <v>517</v>
      </c>
      <c r="D388" s="16" t="s">
        <v>569</v>
      </c>
      <c r="E388" s="16" t="s">
        <v>41</v>
      </c>
      <c r="F388" s="33" t="s">
        <v>77</v>
      </c>
      <c r="G388" s="17" t="s">
        <v>587</v>
      </c>
      <c r="H388" s="29"/>
    </row>
    <row r="389" spans="1:8">
      <c r="A389" s="28">
        <v>45945</v>
      </c>
      <c r="B389" s="16" t="s">
        <v>75</v>
      </c>
      <c r="C389" s="16" t="s">
        <v>15</v>
      </c>
      <c r="D389" s="16" t="s">
        <v>567</v>
      </c>
      <c r="E389" s="16" t="s">
        <v>41</v>
      </c>
      <c r="F389" s="33" t="s">
        <v>71</v>
      </c>
      <c r="G389" s="17" t="s">
        <v>588</v>
      </c>
      <c r="H389" s="29"/>
    </row>
    <row r="390" spans="1:8">
      <c r="A390" s="28">
        <v>45945</v>
      </c>
      <c r="B390" s="16" t="s">
        <v>75</v>
      </c>
      <c r="C390" s="16" t="s">
        <v>15</v>
      </c>
      <c r="D390" s="16" t="s">
        <v>538</v>
      </c>
      <c r="E390" s="16" t="s">
        <v>41</v>
      </c>
      <c r="F390" s="33" t="s">
        <v>64</v>
      </c>
      <c r="G390" s="17" t="s">
        <v>589</v>
      </c>
      <c r="H390" s="29"/>
    </row>
    <row r="391" spans="1:8" ht="31.5">
      <c r="A391" s="28">
        <v>45945</v>
      </c>
      <c r="B391" s="16" t="s">
        <v>91</v>
      </c>
      <c r="C391" s="16" t="s">
        <v>111</v>
      </c>
      <c r="D391" s="16" t="s">
        <v>563</v>
      </c>
      <c r="E391" s="16" t="s">
        <v>41</v>
      </c>
      <c r="F391" s="33" t="s">
        <v>71</v>
      </c>
      <c r="G391" s="17" t="s">
        <v>590</v>
      </c>
      <c r="H391" s="29"/>
    </row>
    <row r="392" spans="1:8">
      <c r="A392" s="28">
        <v>45945</v>
      </c>
      <c r="B392" s="16" t="s">
        <v>75</v>
      </c>
      <c r="C392" s="16" t="s">
        <v>42</v>
      </c>
      <c r="D392" s="16" t="s">
        <v>165</v>
      </c>
      <c r="E392" s="16" t="s">
        <v>41</v>
      </c>
      <c r="F392" s="33" t="s">
        <v>77</v>
      </c>
      <c r="G392" s="17" t="s">
        <v>591</v>
      </c>
      <c r="H392" s="29"/>
    </row>
    <row r="393" spans="1:8">
      <c r="A393" s="28">
        <v>45945</v>
      </c>
      <c r="B393" s="16" t="s">
        <v>75</v>
      </c>
      <c r="C393" s="16" t="s">
        <v>15</v>
      </c>
      <c r="D393" s="16" t="s">
        <v>132</v>
      </c>
      <c r="E393" s="16" t="s">
        <v>41</v>
      </c>
      <c r="F393" s="33" t="s">
        <v>77</v>
      </c>
      <c r="G393" s="17" t="s">
        <v>129</v>
      </c>
      <c r="H393" s="29"/>
    </row>
    <row r="394" spans="1:8">
      <c r="A394" s="28">
        <v>45946</v>
      </c>
      <c r="B394" s="16" t="s">
        <v>76</v>
      </c>
      <c r="C394" s="16" t="s">
        <v>15</v>
      </c>
      <c r="D394" s="16" t="s">
        <v>570</v>
      </c>
      <c r="E394" s="16" t="s">
        <v>40</v>
      </c>
      <c r="F394" s="33" t="s">
        <v>77</v>
      </c>
      <c r="G394" s="17" t="s">
        <v>592</v>
      </c>
      <c r="H394" s="29"/>
    </row>
    <row r="395" spans="1:8" ht="78.75">
      <c r="A395" s="28">
        <v>45946</v>
      </c>
      <c r="B395" s="16" t="s">
        <v>75</v>
      </c>
      <c r="C395" s="16" t="s">
        <v>561</v>
      </c>
      <c r="D395" s="16" t="s">
        <v>565</v>
      </c>
      <c r="E395" s="16" t="s">
        <v>40</v>
      </c>
      <c r="F395" s="33" t="s">
        <v>71</v>
      </c>
      <c r="G395" s="17" t="s">
        <v>608</v>
      </c>
      <c r="H395" s="29"/>
    </row>
    <row r="396" spans="1:8" ht="47.25">
      <c r="A396" s="28">
        <v>45946</v>
      </c>
      <c r="B396" s="16" t="s">
        <v>75</v>
      </c>
      <c r="C396" s="16" t="s">
        <v>15</v>
      </c>
      <c r="D396" s="16" t="s">
        <v>538</v>
      </c>
      <c r="E396" s="16" t="s">
        <v>40</v>
      </c>
      <c r="F396" s="33" t="s">
        <v>71</v>
      </c>
      <c r="G396" s="17" t="s">
        <v>609</v>
      </c>
      <c r="H396" s="29"/>
    </row>
    <row r="397" spans="1:8">
      <c r="A397" s="28">
        <v>45946</v>
      </c>
      <c r="B397" s="16" t="s">
        <v>75</v>
      </c>
      <c r="C397" s="16" t="s">
        <v>15</v>
      </c>
      <c r="D397" s="16" t="s">
        <v>132</v>
      </c>
      <c r="E397" s="16" t="s">
        <v>40</v>
      </c>
      <c r="F397" s="33" t="s">
        <v>71</v>
      </c>
      <c r="G397" s="17"/>
      <c r="H397" s="29"/>
    </row>
    <row r="398" spans="1:8">
      <c r="A398" s="28">
        <v>45946</v>
      </c>
      <c r="B398" s="16" t="s">
        <v>75</v>
      </c>
      <c r="C398" s="16" t="s">
        <v>15</v>
      </c>
      <c r="D398" s="16" t="s">
        <v>133</v>
      </c>
      <c r="E398" s="16" t="s">
        <v>41</v>
      </c>
      <c r="F398" s="33" t="s">
        <v>71</v>
      </c>
      <c r="G398" s="17"/>
      <c r="H398" s="29"/>
    </row>
    <row r="399" spans="1:8">
      <c r="A399" s="28">
        <v>45946</v>
      </c>
      <c r="B399" s="16" t="s">
        <v>75</v>
      </c>
      <c r="C399" s="16" t="s">
        <v>15</v>
      </c>
      <c r="D399" s="16" t="s">
        <v>496</v>
      </c>
      <c r="E399" s="16" t="s">
        <v>41</v>
      </c>
      <c r="F399" s="33" t="s">
        <v>77</v>
      </c>
      <c r="G399" s="17"/>
      <c r="H399" s="29"/>
    </row>
    <row r="400" spans="1:8">
      <c r="A400" s="28">
        <v>45947</v>
      </c>
      <c r="B400" s="16" t="s">
        <v>75</v>
      </c>
      <c r="C400" s="16" t="s">
        <v>15</v>
      </c>
      <c r="D400" s="16" t="s">
        <v>571</v>
      </c>
      <c r="E400" s="16" t="s">
        <v>41</v>
      </c>
      <c r="F400" s="33" t="s">
        <v>77</v>
      </c>
      <c r="G400" s="17" t="s">
        <v>605</v>
      </c>
      <c r="H400" s="29"/>
    </row>
    <row r="401" spans="1:8">
      <c r="A401" s="28">
        <v>45947</v>
      </c>
      <c r="B401" s="16" t="s">
        <v>75</v>
      </c>
      <c r="C401" s="16" t="s">
        <v>15</v>
      </c>
      <c r="D401" s="16" t="s">
        <v>572</v>
      </c>
      <c r="E401" s="16" t="s">
        <v>41</v>
      </c>
      <c r="F401" s="33" t="s">
        <v>77</v>
      </c>
      <c r="G401" s="17" t="s">
        <v>593</v>
      </c>
      <c r="H401" s="29"/>
    </row>
    <row r="402" spans="1:8">
      <c r="A402" s="28">
        <v>45947</v>
      </c>
      <c r="B402" s="16" t="s">
        <v>91</v>
      </c>
      <c r="C402" s="16" t="s">
        <v>199</v>
      </c>
      <c r="D402" s="16" t="s">
        <v>200</v>
      </c>
      <c r="E402" s="16" t="s">
        <v>41</v>
      </c>
      <c r="F402" s="33" t="s">
        <v>69</v>
      </c>
      <c r="G402" s="17" t="s">
        <v>129</v>
      </c>
      <c r="H402" s="29"/>
    </row>
    <row r="403" spans="1:8">
      <c r="A403" s="28">
        <v>45947</v>
      </c>
      <c r="B403" s="16" t="s">
        <v>91</v>
      </c>
      <c r="C403" s="16" t="s">
        <v>199</v>
      </c>
      <c r="D403" s="16" t="s">
        <v>594</v>
      </c>
      <c r="E403" s="16" t="s">
        <v>41</v>
      </c>
      <c r="F403" s="33" t="s">
        <v>77</v>
      </c>
      <c r="G403" s="17" t="s">
        <v>595</v>
      </c>
      <c r="H403" s="29"/>
    </row>
    <row r="404" spans="1:8">
      <c r="A404" s="28">
        <v>45947</v>
      </c>
      <c r="B404" s="16" t="s">
        <v>91</v>
      </c>
      <c r="C404" s="16" t="s">
        <v>596</v>
      </c>
      <c r="D404" s="16" t="s">
        <v>597</v>
      </c>
      <c r="E404" s="16" t="s">
        <v>41</v>
      </c>
      <c r="F404" s="33" t="s">
        <v>77</v>
      </c>
      <c r="G404" s="17" t="s">
        <v>598</v>
      </c>
      <c r="H404" s="29"/>
    </row>
    <row r="405" spans="1:8">
      <c r="A405" s="28">
        <v>45947</v>
      </c>
      <c r="B405" s="16" t="s">
        <v>91</v>
      </c>
      <c r="C405" s="16" t="s">
        <v>275</v>
      </c>
      <c r="D405" s="16" t="s">
        <v>599</v>
      </c>
      <c r="E405" s="16" t="s">
        <v>41</v>
      </c>
      <c r="F405" s="33" t="s">
        <v>77</v>
      </c>
      <c r="G405" s="17" t="s">
        <v>600</v>
      </c>
      <c r="H405" s="29"/>
    </row>
    <row r="406" spans="1:8">
      <c r="A406" s="28">
        <v>45947</v>
      </c>
      <c r="B406" s="16" t="s">
        <v>197</v>
      </c>
      <c r="C406" s="16" t="s">
        <v>601</v>
      </c>
      <c r="D406" s="16" t="s">
        <v>602</v>
      </c>
      <c r="E406" s="16" t="s">
        <v>41</v>
      </c>
      <c r="F406" s="33" t="s">
        <v>71</v>
      </c>
      <c r="G406" s="17" t="s">
        <v>610</v>
      </c>
      <c r="H406" s="29"/>
    </row>
    <row r="407" spans="1:8">
      <c r="A407" s="28">
        <v>45947</v>
      </c>
      <c r="B407" s="16" t="s">
        <v>91</v>
      </c>
      <c r="C407" s="16" t="s">
        <v>603</v>
      </c>
      <c r="D407" s="16" t="s">
        <v>206</v>
      </c>
      <c r="E407" s="16" t="s">
        <v>41</v>
      </c>
      <c r="F407" s="33" t="s">
        <v>77</v>
      </c>
      <c r="G407" s="17" t="s">
        <v>604</v>
      </c>
      <c r="H407" s="29"/>
    </row>
    <row r="408" spans="1:8">
      <c r="A408" s="28">
        <v>45947</v>
      </c>
      <c r="B408" s="16" t="s">
        <v>75</v>
      </c>
      <c r="C408" s="16" t="s">
        <v>15</v>
      </c>
      <c r="D408" s="16" t="s">
        <v>115</v>
      </c>
      <c r="E408" s="16" t="s">
        <v>41</v>
      </c>
      <c r="F408" s="33" t="s">
        <v>77</v>
      </c>
      <c r="G408" s="17" t="s">
        <v>611</v>
      </c>
      <c r="H408" s="29"/>
    </row>
    <row r="409" spans="1:8">
      <c r="A409" s="28">
        <v>45947</v>
      </c>
      <c r="B409" s="16" t="s">
        <v>91</v>
      </c>
      <c r="C409" s="16" t="s">
        <v>344</v>
      </c>
      <c r="D409" s="16" t="s">
        <v>606</v>
      </c>
      <c r="E409" s="16" t="s">
        <v>41</v>
      </c>
      <c r="F409" s="33" t="s">
        <v>77</v>
      </c>
      <c r="G409" s="17" t="s">
        <v>607</v>
      </c>
      <c r="H409" s="29"/>
    </row>
    <row r="410" spans="1:8" ht="16.5" thickBot="1">
      <c r="A410" s="31"/>
      <c r="B410" s="20"/>
      <c r="C410" s="20"/>
      <c r="D410" s="20"/>
      <c r="E410" s="20"/>
      <c r="F410" s="20"/>
      <c r="G410" s="20"/>
      <c r="H410" s="30"/>
    </row>
    <row r="411" spans="1:8" ht="16.5" thickBot="1"/>
    <row r="412" spans="1:8">
      <c r="A412" s="3" t="s">
        <v>70</v>
      </c>
      <c r="B412" s="4" t="s">
        <v>72</v>
      </c>
      <c r="C412" s="4" t="s">
        <v>16</v>
      </c>
      <c r="D412" s="34" t="s">
        <v>155</v>
      </c>
      <c r="E412" s="9" t="s">
        <v>156</v>
      </c>
      <c r="F412" s="10" t="s">
        <v>157</v>
      </c>
    </row>
    <row r="413" spans="1:8">
      <c r="A413" s="122" t="s">
        <v>63</v>
      </c>
      <c r="B413" s="16" t="s">
        <v>68</v>
      </c>
      <c r="C413" s="16">
        <v>7</v>
      </c>
      <c r="D413" s="16">
        <v>7</v>
      </c>
      <c r="E413" s="123">
        <f>D413+D415+D417</f>
        <v>8.3333333333333339</v>
      </c>
      <c r="F413" s="124">
        <f>E413/12</f>
        <v>0.69444444444444453</v>
      </c>
    </row>
    <row r="414" spans="1:8">
      <c r="A414" s="122"/>
      <c r="B414" s="125" t="s">
        <v>65</v>
      </c>
      <c r="C414" s="125">
        <v>4</v>
      </c>
      <c r="D414" s="35" t="s">
        <v>158</v>
      </c>
      <c r="E414" s="123"/>
      <c r="F414" s="124"/>
    </row>
    <row r="415" spans="1:8">
      <c r="A415" s="122"/>
      <c r="B415" s="125"/>
      <c r="C415" s="125"/>
      <c r="D415" s="16">
        <f>C414/3</f>
        <v>1.3333333333333333</v>
      </c>
      <c r="E415" s="123"/>
      <c r="F415" s="124"/>
    </row>
    <row r="416" spans="1:8">
      <c r="A416" s="122"/>
      <c r="B416" s="125" t="s">
        <v>69</v>
      </c>
      <c r="C416" s="125">
        <v>25</v>
      </c>
      <c r="D416" s="35" t="s">
        <v>159</v>
      </c>
      <c r="E416" s="123"/>
      <c r="F416" s="124"/>
    </row>
    <row r="417" spans="1:8">
      <c r="A417" s="122"/>
      <c r="B417" s="125"/>
      <c r="C417" s="125"/>
      <c r="D417" s="16">
        <v>0</v>
      </c>
      <c r="E417" s="123"/>
      <c r="F417" s="124"/>
    </row>
    <row r="418" spans="1:8">
      <c r="A418" s="36" t="s">
        <v>70</v>
      </c>
      <c r="B418" s="37" t="s">
        <v>72</v>
      </c>
      <c r="C418" s="37" t="s">
        <v>16</v>
      </c>
      <c r="D418" s="126" t="s">
        <v>160</v>
      </c>
      <c r="E418" s="126"/>
      <c r="F418" s="127"/>
    </row>
    <row r="419" spans="1:8">
      <c r="A419" s="122" t="s">
        <v>62</v>
      </c>
      <c r="B419" s="16" t="s">
        <v>68</v>
      </c>
      <c r="C419" s="16">
        <v>5</v>
      </c>
      <c r="D419" s="129">
        <f>C419/9</f>
        <v>0.55555555555555558</v>
      </c>
      <c r="E419" s="129"/>
      <c r="F419" s="124"/>
    </row>
    <row r="420" spans="1:8" ht="16.5" thickBot="1">
      <c r="A420" s="128"/>
      <c r="B420" s="20" t="s">
        <v>69</v>
      </c>
      <c r="C420" s="20">
        <v>2</v>
      </c>
      <c r="D420" s="130"/>
      <c r="E420" s="130"/>
      <c r="F420" s="131"/>
    </row>
    <row r="422" spans="1:8" ht="16.5" thickBot="1">
      <c r="A422" s="14" t="s">
        <v>612</v>
      </c>
    </row>
    <row r="423" spans="1:8">
      <c r="A423" s="3" t="s">
        <v>58</v>
      </c>
      <c r="B423" s="4" t="s">
        <v>67</v>
      </c>
      <c r="C423" s="4" t="s">
        <v>3</v>
      </c>
      <c r="D423" s="4" t="s">
        <v>57</v>
      </c>
      <c r="E423" s="4" t="s">
        <v>59</v>
      </c>
      <c r="F423" s="4" t="s">
        <v>61</v>
      </c>
      <c r="G423" s="4" t="s">
        <v>60</v>
      </c>
      <c r="H423" s="5" t="s">
        <v>66</v>
      </c>
    </row>
    <row r="424" spans="1:8">
      <c r="A424" s="28">
        <v>45950</v>
      </c>
      <c r="B424" s="16" t="s">
        <v>75</v>
      </c>
      <c r="C424" s="16" t="s">
        <v>15</v>
      </c>
      <c r="D424" s="16" t="s">
        <v>622</v>
      </c>
      <c r="E424" s="16" t="s">
        <v>41</v>
      </c>
      <c r="F424" s="33" t="s">
        <v>64</v>
      </c>
      <c r="G424" s="17" t="s">
        <v>631</v>
      </c>
      <c r="H424" s="29"/>
    </row>
    <row r="425" spans="1:8">
      <c r="A425" s="28">
        <v>45950</v>
      </c>
      <c r="B425" s="16" t="s">
        <v>75</v>
      </c>
      <c r="C425" s="16" t="s">
        <v>42</v>
      </c>
      <c r="D425" s="16" t="s">
        <v>165</v>
      </c>
      <c r="E425" s="16" t="s">
        <v>41</v>
      </c>
      <c r="F425" s="33" t="s">
        <v>77</v>
      </c>
      <c r="G425" s="17" t="s">
        <v>129</v>
      </c>
      <c r="H425" s="29"/>
    </row>
    <row r="426" spans="1:8">
      <c r="A426" s="28">
        <v>45950</v>
      </c>
      <c r="B426" s="16" t="s">
        <v>76</v>
      </c>
      <c r="C426" s="16" t="s">
        <v>49</v>
      </c>
      <c r="D426" s="16" t="s">
        <v>373</v>
      </c>
      <c r="E426" s="16" t="s">
        <v>41</v>
      </c>
      <c r="F426" s="33" t="s">
        <v>77</v>
      </c>
      <c r="G426" s="17" t="s">
        <v>129</v>
      </c>
      <c r="H426" s="29"/>
    </row>
    <row r="427" spans="1:8" ht="31.5">
      <c r="A427" s="28">
        <v>45950</v>
      </c>
      <c r="B427" s="16" t="s">
        <v>75</v>
      </c>
      <c r="C427" s="16" t="s">
        <v>15</v>
      </c>
      <c r="D427" s="16" t="s">
        <v>567</v>
      </c>
      <c r="E427" s="16" t="s">
        <v>41</v>
      </c>
      <c r="F427" s="33" t="s">
        <v>77</v>
      </c>
      <c r="G427" s="17" t="s">
        <v>632</v>
      </c>
      <c r="H427" s="29"/>
    </row>
    <row r="428" spans="1:8" ht="31.5">
      <c r="A428" s="28">
        <v>45950</v>
      </c>
      <c r="B428" s="16" t="s">
        <v>91</v>
      </c>
      <c r="C428" s="16" t="s">
        <v>111</v>
      </c>
      <c r="D428" s="16" t="s">
        <v>563</v>
      </c>
      <c r="E428" s="16" t="s">
        <v>41</v>
      </c>
      <c r="F428" s="33" t="s">
        <v>71</v>
      </c>
      <c r="G428" s="17" t="s">
        <v>654</v>
      </c>
      <c r="H428" s="29"/>
    </row>
    <row r="429" spans="1:8">
      <c r="A429" s="28">
        <v>45950</v>
      </c>
      <c r="B429" s="16" t="s">
        <v>91</v>
      </c>
      <c r="C429" s="16" t="s">
        <v>111</v>
      </c>
      <c r="D429" s="16" t="s">
        <v>623</v>
      </c>
      <c r="E429" s="16" t="s">
        <v>41</v>
      </c>
      <c r="F429" s="33" t="s">
        <v>64</v>
      </c>
      <c r="G429" s="17" t="s">
        <v>655</v>
      </c>
      <c r="H429" s="29"/>
    </row>
    <row r="430" spans="1:8" ht="31.5">
      <c r="A430" s="28">
        <v>45950</v>
      </c>
      <c r="B430" s="16" t="s">
        <v>91</v>
      </c>
      <c r="C430" s="16" t="s">
        <v>199</v>
      </c>
      <c r="D430" s="16" t="s">
        <v>200</v>
      </c>
      <c r="E430" s="16" t="s">
        <v>41</v>
      </c>
      <c r="F430" s="33" t="s">
        <v>71</v>
      </c>
      <c r="G430" s="17" t="s">
        <v>656</v>
      </c>
      <c r="H430" s="29"/>
    </row>
    <row r="431" spans="1:8">
      <c r="A431" s="28">
        <v>45950</v>
      </c>
      <c r="B431" s="16" t="s">
        <v>91</v>
      </c>
      <c r="C431" s="16" t="s">
        <v>624</v>
      </c>
      <c r="D431" s="16" t="s">
        <v>625</v>
      </c>
      <c r="E431" s="16" t="s">
        <v>41</v>
      </c>
      <c r="F431" s="33" t="s">
        <v>77</v>
      </c>
      <c r="G431" s="17" t="s">
        <v>444</v>
      </c>
      <c r="H431" s="29"/>
    </row>
    <row r="432" spans="1:8" ht="31.5">
      <c r="A432" s="28">
        <v>45950</v>
      </c>
      <c r="B432" s="16" t="s">
        <v>75</v>
      </c>
      <c r="C432" s="16" t="s">
        <v>15</v>
      </c>
      <c r="D432" s="16" t="s">
        <v>626</v>
      </c>
      <c r="E432" s="16" t="s">
        <v>41</v>
      </c>
      <c r="F432" s="33" t="s">
        <v>71</v>
      </c>
      <c r="G432" s="17" t="s">
        <v>657</v>
      </c>
      <c r="H432" s="29"/>
    </row>
    <row r="433" spans="1:8">
      <c r="A433" s="28">
        <v>45950</v>
      </c>
      <c r="B433" s="16" t="s">
        <v>91</v>
      </c>
      <c r="C433" s="16" t="s">
        <v>627</v>
      </c>
      <c r="D433" s="16" t="s">
        <v>628</v>
      </c>
      <c r="E433" s="16" t="s">
        <v>41</v>
      </c>
      <c r="F433" s="33" t="s">
        <v>77</v>
      </c>
      <c r="G433" s="17" t="s">
        <v>644</v>
      </c>
      <c r="H433" s="29"/>
    </row>
    <row r="434" spans="1:8" ht="31.5">
      <c r="A434" s="28">
        <v>45950</v>
      </c>
      <c r="B434" s="16" t="s">
        <v>91</v>
      </c>
      <c r="C434" s="16" t="s">
        <v>298</v>
      </c>
      <c r="D434" s="16" t="s">
        <v>630</v>
      </c>
      <c r="E434" s="16" t="s">
        <v>41</v>
      </c>
      <c r="F434" s="33" t="s">
        <v>77</v>
      </c>
      <c r="G434" s="17" t="s">
        <v>629</v>
      </c>
      <c r="H434" s="29"/>
    </row>
    <row r="435" spans="1:8">
      <c r="A435" s="28">
        <v>45950</v>
      </c>
      <c r="B435" s="16" t="s">
        <v>91</v>
      </c>
      <c r="C435" s="16" t="s">
        <v>633</v>
      </c>
      <c r="D435" s="16" t="s">
        <v>634</v>
      </c>
      <c r="E435" s="16" t="s">
        <v>41</v>
      </c>
      <c r="F435" s="33" t="s">
        <v>77</v>
      </c>
      <c r="G435" s="17" t="s">
        <v>444</v>
      </c>
      <c r="H435" s="29"/>
    </row>
    <row r="436" spans="1:8">
      <c r="A436" s="28">
        <v>45950</v>
      </c>
      <c r="B436" s="16" t="s">
        <v>91</v>
      </c>
      <c r="C436" s="16" t="s">
        <v>635</v>
      </c>
      <c r="D436" s="16" t="s">
        <v>206</v>
      </c>
      <c r="E436" s="16" t="s">
        <v>41</v>
      </c>
      <c r="F436" s="33" t="s">
        <v>77</v>
      </c>
      <c r="G436" s="17" t="s">
        <v>636</v>
      </c>
      <c r="H436" s="29"/>
    </row>
    <row r="437" spans="1:8" ht="31.5">
      <c r="A437" s="28">
        <v>45951</v>
      </c>
      <c r="B437" s="16" t="s">
        <v>75</v>
      </c>
      <c r="C437" s="16" t="s">
        <v>15</v>
      </c>
      <c r="D437" s="16" t="s">
        <v>496</v>
      </c>
      <c r="E437" s="16" t="s">
        <v>40</v>
      </c>
      <c r="F437" s="33" t="s">
        <v>71</v>
      </c>
      <c r="G437" s="17" t="s">
        <v>658</v>
      </c>
      <c r="H437" s="29"/>
    </row>
    <row r="438" spans="1:8" ht="31.5">
      <c r="A438" s="28">
        <v>45951</v>
      </c>
      <c r="B438" s="16" t="s">
        <v>91</v>
      </c>
      <c r="C438" s="16" t="s">
        <v>111</v>
      </c>
      <c r="D438" s="16" t="s">
        <v>623</v>
      </c>
      <c r="E438" s="16" t="s">
        <v>40</v>
      </c>
      <c r="F438" s="33" t="s">
        <v>71</v>
      </c>
      <c r="G438" s="17" t="s">
        <v>659</v>
      </c>
      <c r="H438" s="29"/>
    </row>
    <row r="439" spans="1:8">
      <c r="A439" s="28">
        <v>45951</v>
      </c>
      <c r="B439" s="16" t="s">
        <v>75</v>
      </c>
      <c r="C439" s="16" t="s">
        <v>15</v>
      </c>
      <c r="D439" s="16" t="s">
        <v>134</v>
      </c>
      <c r="E439" s="16" t="s">
        <v>41</v>
      </c>
      <c r="F439" s="33" t="s">
        <v>64</v>
      </c>
      <c r="G439" s="17" t="s">
        <v>660</v>
      </c>
      <c r="H439" s="29"/>
    </row>
    <row r="440" spans="1:8" ht="47.25">
      <c r="A440" s="28">
        <v>45951</v>
      </c>
      <c r="B440" s="16" t="s">
        <v>91</v>
      </c>
      <c r="C440" s="16" t="s">
        <v>637</v>
      </c>
      <c r="D440" s="16" t="s">
        <v>638</v>
      </c>
      <c r="E440" s="16" t="s">
        <v>40</v>
      </c>
      <c r="F440" s="33" t="s">
        <v>71</v>
      </c>
      <c r="G440" s="17" t="s">
        <v>661</v>
      </c>
      <c r="H440" s="29"/>
    </row>
    <row r="441" spans="1:8" ht="31.5">
      <c r="A441" s="28">
        <v>45951</v>
      </c>
      <c r="B441" s="16" t="s">
        <v>75</v>
      </c>
      <c r="C441" s="16" t="s">
        <v>458</v>
      </c>
      <c r="D441" s="16" t="s">
        <v>641</v>
      </c>
      <c r="E441" s="16" t="s">
        <v>41</v>
      </c>
      <c r="F441" s="33" t="s">
        <v>64</v>
      </c>
      <c r="G441" s="17" t="s">
        <v>662</v>
      </c>
      <c r="H441" s="29"/>
    </row>
    <row r="442" spans="1:8">
      <c r="A442" s="28">
        <v>45951</v>
      </c>
      <c r="B442" s="16" t="s">
        <v>75</v>
      </c>
      <c r="C442" s="16" t="s">
        <v>15</v>
      </c>
      <c r="D442" s="16" t="s">
        <v>639</v>
      </c>
      <c r="E442" s="16" t="s">
        <v>41</v>
      </c>
      <c r="F442" s="33" t="s">
        <v>77</v>
      </c>
      <c r="G442" s="17" t="s">
        <v>129</v>
      </c>
      <c r="H442" s="29"/>
    </row>
    <row r="443" spans="1:8">
      <c r="A443" s="28">
        <v>45951</v>
      </c>
      <c r="B443" s="16" t="s">
        <v>75</v>
      </c>
      <c r="C443" s="16" t="s">
        <v>15</v>
      </c>
      <c r="D443" s="16" t="s">
        <v>640</v>
      </c>
      <c r="E443" s="16" t="s">
        <v>41</v>
      </c>
      <c r="F443" s="33" t="s">
        <v>77</v>
      </c>
      <c r="G443" s="17" t="s">
        <v>129</v>
      </c>
      <c r="H443" s="29"/>
    </row>
    <row r="444" spans="1:8" ht="31.5">
      <c r="A444" s="28">
        <v>45952</v>
      </c>
      <c r="B444" s="16" t="s">
        <v>75</v>
      </c>
      <c r="C444" s="16" t="s">
        <v>15</v>
      </c>
      <c r="D444" s="16" t="s">
        <v>492</v>
      </c>
      <c r="E444" s="16" t="s">
        <v>40</v>
      </c>
      <c r="F444" s="33" t="s">
        <v>77</v>
      </c>
      <c r="G444" s="17" t="s">
        <v>663</v>
      </c>
      <c r="H444" s="29"/>
    </row>
    <row r="445" spans="1:8" ht="63">
      <c r="A445" s="28">
        <v>45952</v>
      </c>
      <c r="B445" s="16" t="s">
        <v>75</v>
      </c>
      <c r="C445" s="16" t="s">
        <v>15</v>
      </c>
      <c r="D445" s="16" t="s">
        <v>134</v>
      </c>
      <c r="E445" s="16" t="s">
        <v>40</v>
      </c>
      <c r="F445" s="33" t="s">
        <v>71</v>
      </c>
      <c r="G445" s="17" t="s">
        <v>664</v>
      </c>
      <c r="H445" s="29"/>
    </row>
    <row r="446" spans="1:8" ht="31.5">
      <c r="A446" s="28">
        <v>45952</v>
      </c>
      <c r="B446" s="16" t="s">
        <v>91</v>
      </c>
      <c r="C446" s="16" t="s">
        <v>111</v>
      </c>
      <c r="D446" s="16" t="s">
        <v>623</v>
      </c>
      <c r="E446" s="16" t="s">
        <v>41</v>
      </c>
      <c r="F446" s="33" t="s">
        <v>71</v>
      </c>
      <c r="G446" s="17" t="s">
        <v>665</v>
      </c>
      <c r="H446" s="29"/>
    </row>
    <row r="447" spans="1:8">
      <c r="A447" s="28">
        <v>45952</v>
      </c>
      <c r="B447" s="16" t="s">
        <v>91</v>
      </c>
      <c r="C447" s="16" t="s">
        <v>199</v>
      </c>
      <c r="D447" s="16" t="s">
        <v>642</v>
      </c>
      <c r="E447" s="16" t="s">
        <v>41</v>
      </c>
      <c r="F447" s="33" t="s">
        <v>77</v>
      </c>
      <c r="G447" s="17" t="s">
        <v>643</v>
      </c>
      <c r="H447" s="29"/>
    </row>
    <row r="448" spans="1:8">
      <c r="A448" s="28">
        <v>45952</v>
      </c>
      <c r="B448" s="16" t="s">
        <v>91</v>
      </c>
      <c r="C448" s="16" t="s">
        <v>645</v>
      </c>
      <c r="D448" s="16" t="s">
        <v>206</v>
      </c>
      <c r="E448" s="16" t="s">
        <v>41</v>
      </c>
      <c r="F448" s="33" t="s">
        <v>77</v>
      </c>
      <c r="G448" s="17" t="s">
        <v>646</v>
      </c>
      <c r="H448" s="29"/>
    </row>
    <row r="449" spans="1:8">
      <c r="A449" s="28">
        <v>45952</v>
      </c>
      <c r="B449" s="16" t="s">
        <v>91</v>
      </c>
      <c r="C449" s="16" t="s">
        <v>647</v>
      </c>
      <c r="D449" s="16" t="s">
        <v>206</v>
      </c>
      <c r="E449" s="16" t="s">
        <v>41</v>
      </c>
      <c r="F449" s="33" t="s">
        <v>77</v>
      </c>
      <c r="G449" s="17" t="s">
        <v>648</v>
      </c>
      <c r="H449" s="29"/>
    </row>
    <row r="450" spans="1:8">
      <c r="A450" s="28">
        <v>45952</v>
      </c>
      <c r="B450" s="16" t="s">
        <v>91</v>
      </c>
      <c r="C450" s="16" t="s">
        <v>649</v>
      </c>
      <c r="D450" s="16" t="s">
        <v>650</v>
      </c>
      <c r="E450" s="16" t="s">
        <v>41</v>
      </c>
      <c r="F450" s="33" t="s">
        <v>77</v>
      </c>
      <c r="G450" s="17" t="s">
        <v>651</v>
      </c>
      <c r="H450" s="29"/>
    </row>
    <row r="451" spans="1:8" ht="31.5">
      <c r="A451" s="28">
        <v>45952</v>
      </c>
      <c r="B451" s="16" t="s">
        <v>75</v>
      </c>
      <c r="C451" s="16" t="s">
        <v>15</v>
      </c>
      <c r="D451" s="16" t="s">
        <v>639</v>
      </c>
      <c r="E451" s="16" t="s">
        <v>41</v>
      </c>
      <c r="F451" s="33" t="s">
        <v>77</v>
      </c>
      <c r="G451" s="17" t="s">
        <v>666</v>
      </c>
      <c r="H451" s="29"/>
    </row>
    <row r="452" spans="1:8">
      <c r="A452" s="28">
        <v>45952</v>
      </c>
      <c r="B452" s="16" t="s">
        <v>75</v>
      </c>
      <c r="C452" s="16" t="s">
        <v>15</v>
      </c>
      <c r="D452" s="16" t="s">
        <v>652</v>
      </c>
      <c r="E452" s="16" t="s">
        <v>41</v>
      </c>
      <c r="F452" s="33" t="s">
        <v>71</v>
      </c>
      <c r="G452" s="17" t="s">
        <v>667</v>
      </c>
      <c r="H452" s="29"/>
    </row>
    <row r="453" spans="1:8">
      <c r="A453" s="28">
        <v>45952</v>
      </c>
      <c r="B453" s="16" t="s">
        <v>75</v>
      </c>
      <c r="C453" s="16" t="s">
        <v>15</v>
      </c>
      <c r="D453" s="16" t="s">
        <v>653</v>
      </c>
      <c r="E453" s="16" t="s">
        <v>41</v>
      </c>
      <c r="F453" s="33" t="s">
        <v>77</v>
      </c>
      <c r="G453" s="17" t="s">
        <v>129</v>
      </c>
      <c r="H453" s="29"/>
    </row>
    <row r="454" spans="1:8" ht="47.25">
      <c r="A454" s="28">
        <v>45953</v>
      </c>
      <c r="B454" s="16" t="s">
        <v>75</v>
      </c>
      <c r="C454" s="16" t="s">
        <v>458</v>
      </c>
      <c r="D454" s="16" t="s">
        <v>668</v>
      </c>
      <c r="E454" s="16" t="s">
        <v>40</v>
      </c>
      <c r="F454" s="33" t="s">
        <v>71</v>
      </c>
      <c r="G454" s="17" t="s">
        <v>677</v>
      </c>
      <c r="H454" s="29"/>
    </row>
    <row r="455" spans="1:8" ht="47.25">
      <c r="A455" s="28">
        <v>45953</v>
      </c>
      <c r="B455" s="16" t="s">
        <v>75</v>
      </c>
      <c r="C455" s="16" t="s">
        <v>458</v>
      </c>
      <c r="D455" s="16" t="s">
        <v>460</v>
      </c>
      <c r="E455" s="16" t="s">
        <v>40</v>
      </c>
      <c r="F455" s="33" t="s">
        <v>77</v>
      </c>
      <c r="G455" s="17" t="s">
        <v>678</v>
      </c>
      <c r="H455" s="29"/>
    </row>
    <row r="456" spans="1:8" ht="31.5">
      <c r="A456" s="28">
        <v>45953</v>
      </c>
      <c r="B456" s="16" t="s">
        <v>75</v>
      </c>
      <c r="C456" s="16" t="s">
        <v>458</v>
      </c>
      <c r="D456" s="16" t="s">
        <v>669</v>
      </c>
      <c r="E456" s="16" t="s">
        <v>41</v>
      </c>
      <c r="F456" s="33" t="s">
        <v>71</v>
      </c>
      <c r="G456" s="17" t="s">
        <v>679</v>
      </c>
      <c r="H456" s="29"/>
    </row>
    <row r="457" spans="1:8">
      <c r="A457" s="28">
        <v>45953</v>
      </c>
      <c r="B457" s="16" t="s">
        <v>75</v>
      </c>
      <c r="C457" s="16" t="s">
        <v>458</v>
      </c>
      <c r="D457" s="16" t="s">
        <v>291</v>
      </c>
      <c r="E457" s="16" t="s">
        <v>41</v>
      </c>
      <c r="F457" s="33" t="s">
        <v>77</v>
      </c>
      <c r="G457" s="17" t="s">
        <v>680</v>
      </c>
      <c r="H457" s="29"/>
    </row>
    <row r="458" spans="1:8" ht="47.25">
      <c r="A458" s="28">
        <v>45953</v>
      </c>
      <c r="B458" s="16" t="s">
        <v>91</v>
      </c>
      <c r="C458" s="16" t="s">
        <v>637</v>
      </c>
      <c r="D458" s="16" t="s">
        <v>670</v>
      </c>
      <c r="E458" s="16" t="s">
        <v>41</v>
      </c>
      <c r="F458" s="33" t="s">
        <v>676</v>
      </c>
      <c r="G458" s="17" t="s">
        <v>681</v>
      </c>
      <c r="H458" s="29"/>
    </row>
    <row r="459" spans="1:8">
      <c r="A459" s="28">
        <v>45953</v>
      </c>
      <c r="B459" s="16" t="s">
        <v>91</v>
      </c>
      <c r="C459" s="16" t="s">
        <v>637</v>
      </c>
      <c r="D459" s="16" t="s">
        <v>638</v>
      </c>
      <c r="E459" s="16" t="s">
        <v>41</v>
      </c>
      <c r="F459" s="33" t="s">
        <v>77</v>
      </c>
      <c r="G459" s="17" t="s">
        <v>682</v>
      </c>
      <c r="H459" s="29"/>
    </row>
    <row r="460" spans="1:8">
      <c r="A460" s="28">
        <v>45953</v>
      </c>
      <c r="B460" s="16" t="s">
        <v>91</v>
      </c>
      <c r="C460" s="16" t="s">
        <v>671</v>
      </c>
      <c r="D460" s="16" t="s">
        <v>672</v>
      </c>
      <c r="E460" s="16" t="s">
        <v>41</v>
      </c>
      <c r="F460" s="33" t="s">
        <v>77</v>
      </c>
      <c r="G460" s="17" t="s">
        <v>129</v>
      </c>
      <c r="H460" s="29"/>
    </row>
    <row r="461" spans="1:8">
      <c r="A461" s="28">
        <v>45953</v>
      </c>
      <c r="B461" s="16" t="s">
        <v>75</v>
      </c>
      <c r="C461" s="16" t="s">
        <v>15</v>
      </c>
      <c r="D461" s="16" t="s">
        <v>196</v>
      </c>
      <c r="E461" s="16" t="s">
        <v>41</v>
      </c>
      <c r="F461" s="33" t="s">
        <v>77</v>
      </c>
      <c r="G461" s="17" t="s">
        <v>683</v>
      </c>
      <c r="H461" s="29"/>
    </row>
    <row r="462" spans="1:8">
      <c r="A462" s="28">
        <v>45953</v>
      </c>
      <c r="B462" s="16" t="s">
        <v>75</v>
      </c>
      <c r="C462" s="16" t="s">
        <v>15</v>
      </c>
      <c r="D462" s="16" t="s">
        <v>653</v>
      </c>
      <c r="E462" s="16" t="s">
        <v>41</v>
      </c>
      <c r="F462" s="33" t="s">
        <v>77</v>
      </c>
      <c r="G462" s="17" t="s">
        <v>129</v>
      </c>
      <c r="H462" s="29"/>
    </row>
    <row r="463" spans="1:8" ht="16.5" thickBot="1">
      <c r="A463" s="31"/>
      <c r="B463" s="20"/>
      <c r="C463" s="20"/>
      <c r="D463" s="20"/>
      <c r="E463" s="20"/>
      <c r="F463" s="20"/>
      <c r="G463" s="20"/>
      <c r="H463" s="30"/>
    </row>
    <row r="464" spans="1:8" ht="16.5" thickBot="1"/>
    <row r="465" spans="1:8">
      <c r="A465" s="3" t="s">
        <v>70</v>
      </c>
      <c r="B465" s="4" t="s">
        <v>72</v>
      </c>
      <c r="C465" s="4" t="s">
        <v>16</v>
      </c>
      <c r="D465" s="34" t="s">
        <v>155</v>
      </c>
      <c r="E465" s="9" t="s">
        <v>156</v>
      </c>
      <c r="F465" s="10" t="s">
        <v>157</v>
      </c>
    </row>
    <row r="466" spans="1:8">
      <c r="A466" s="122" t="s">
        <v>63</v>
      </c>
      <c r="B466" s="16" t="s">
        <v>68</v>
      </c>
      <c r="C466" s="16">
        <v>8</v>
      </c>
      <c r="D466" s="16">
        <v>8</v>
      </c>
      <c r="E466" s="123">
        <f>D466+D468+D470</f>
        <v>9.3333333333333339</v>
      </c>
      <c r="F466" s="124">
        <f>E466/12</f>
        <v>0.77777777777777779</v>
      </c>
    </row>
    <row r="467" spans="1:8">
      <c r="A467" s="122"/>
      <c r="B467" s="125" t="s">
        <v>65</v>
      </c>
      <c r="C467" s="125">
        <v>4</v>
      </c>
      <c r="D467" s="35" t="s">
        <v>158</v>
      </c>
      <c r="E467" s="123"/>
      <c r="F467" s="124"/>
    </row>
    <row r="468" spans="1:8">
      <c r="A468" s="122"/>
      <c r="B468" s="125"/>
      <c r="C468" s="125"/>
      <c r="D468" s="16">
        <f>C467/3</f>
        <v>1.3333333333333333</v>
      </c>
      <c r="E468" s="123"/>
      <c r="F468" s="124"/>
    </row>
    <row r="469" spans="1:8">
      <c r="A469" s="122"/>
      <c r="B469" s="125" t="s">
        <v>69</v>
      </c>
      <c r="C469" s="125">
        <v>20</v>
      </c>
      <c r="D469" s="35" t="s">
        <v>159</v>
      </c>
      <c r="E469" s="123"/>
      <c r="F469" s="124"/>
    </row>
    <row r="470" spans="1:8">
      <c r="A470" s="122"/>
      <c r="B470" s="125"/>
      <c r="C470" s="125"/>
      <c r="D470" s="16">
        <v>0</v>
      </c>
      <c r="E470" s="123"/>
      <c r="F470" s="124"/>
    </row>
    <row r="471" spans="1:8">
      <c r="A471" s="36" t="s">
        <v>70</v>
      </c>
      <c r="B471" s="37" t="s">
        <v>72</v>
      </c>
      <c r="C471" s="37"/>
      <c r="D471" s="126" t="s">
        <v>160</v>
      </c>
      <c r="E471" s="126"/>
      <c r="F471" s="127"/>
    </row>
    <row r="472" spans="1:8">
      <c r="A472" s="122" t="s">
        <v>62</v>
      </c>
      <c r="B472" s="16" t="s">
        <v>68</v>
      </c>
      <c r="C472" s="16">
        <v>5</v>
      </c>
      <c r="D472" s="129">
        <f>C472/9</f>
        <v>0.55555555555555558</v>
      </c>
      <c r="E472" s="129"/>
      <c r="F472" s="124"/>
    </row>
    <row r="473" spans="1:8" ht="16.5" thickBot="1">
      <c r="A473" s="128"/>
      <c r="B473" s="20" t="s">
        <v>69</v>
      </c>
      <c r="C473" s="20">
        <v>2</v>
      </c>
      <c r="D473" s="130"/>
      <c r="E473" s="130"/>
      <c r="F473" s="131"/>
    </row>
    <row r="475" spans="1:8" ht="16.5" thickBot="1">
      <c r="A475" s="14" t="s">
        <v>619</v>
      </c>
    </row>
    <row r="476" spans="1:8">
      <c r="A476" s="3" t="s">
        <v>58</v>
      </c>
      <c r="B476" s="4" t="s">
        <v>67</v>
      </c>
      <c r="C476" s="4" t="s">
        <v>3</v>
      </c>
      <c r="D476" s="4" t="s">
        <v>57</v>
      </c>
      <c r="E476" s="4" t="s">
        <v>59</v>
      </c>
      <c r="F476" s="4" t="s">
        <v>61</v>
      </c>
      <c r="G476" s="4" t="s">
        <v>60</v>
      </c>
      <c r="H476" s="5" t="s">
        <v>66</v>
      </c>
    </row>
    <row r="477" spans="1:8">
      <c r="A477" s="28">
        <v>45957</v>
      </c>
      <c r="B477" s="16" t="s">
        <v>75</v>
      </c>
      <c r="C477" s="16" t="s">
        <v>458</v>
      </c>
      <c r="D477" s="16" t="s">
        <v>684</v>
      </c>
      <c r="E477" s="16" t="s">
        <v>41</v>
      </c>
      <c r="F477" s="33" t="s">
        <v>64</v>
      </c>
      <c r="G477" s="17" t="s">
        <v>719</v>
      </c>
      <c r="H477" s="29"/>
    </row>
    <row r="478" spans="1:8">
      <c r="A478" s="28">
        <v>45957</v>
      </c>
      <c r="B478" s="16" t="s">
        <v>75</v>
      </c>
      <c r="C478" s="16" t="s">
        <v>15</v>
      </c>
      <c r="D478" s="16" t="s">
        <v>687</v>
      </c>
      <c r="E478" s="16" t="s">
        <v>41</v>
      </c>
      <c r="F478" s="33" t="s">
        <v>64</v>
      </c>
      <c r="G478" s="17" t="s">
        <v>720</v>
      </c>
      <c r="H478" s="29"/>
    </row>
    <row r="479" spans="1:8" ht="31.5">
      <c r="A479" s="28">
        <v>45957</v>
      </c>
      <c r="B479" s="16" t="s">
        <v>75</v>
      </c>
      <c r="C479" s="16" t="s">
        <v>458</v>
      </c>
      <c r="D479" s="16" t="s">
        <v>291</v>
      </c>
      <c r="E479" s="16" t="s">
        <v>41</v>
      </c>
      <c r="F479" s="33" t="s">
        <v>71</v>
      </c>
      <c r="G479" s="17" t="s">
        <v>721</v>
      </c>
      <c r="H479" s="29"/>
    </row>
    <row r="480" spans="1:8" ht="31.5">
      <c r="A480" s="28">
        <v>45957</v>
      </c>
      <c r="B480" s="16" t="s">
        <v>91</v>
      </c>
      <c r="C480" s="16" t="s">
        <v>637</v>
      </c>
      <c r="D480" s="16" t="s">
        <v>685</v>
      </c>
      <c r="E480" s="16" t="s">
        <v>41</v>
      </c>
      <c r="F480" s="33" t="s">
        <v>71</v>
      </c>
      <c r="G480" s="17" t="s">
        <v>722</v>
      </c>
      <c r="H480" s="29"/>
    </row>
    <row r="481" spans="1:8">
      <c r="A481" s="28">
        <v>45957</v>
      </c>
      <c r="B481" s="16" t="s">
        <v>91</v>
      </c>
      <c r="C481" s="16" t="s">
        <v>137</v>
      </c>
      <c r="D481" s="16" t="s">
        <v>192</v>
      </c>
      <c r="E481" s="16" t="s">
        <v>41</v>
      </c>
      <c r="F481" s="33" t="s">
        <v>77</v>
      </c>
      <c r="G481" s="17" t="s">
        <v>129</v>
      </c>
      <c r="H481" s="29"/>
    </row>
    <row r="482" spans="1:8" ht="63">
      <c r="A482" s="28">
        <v>45957</v>
      </c>
      <c r="B482" s="16" t="s">
        <v>75</v>
      </c>
      <c r="C482" s="16" t="s">
        <v>295</v>
      </c>
      <c r="D482" s="16" t="s">
        <v>296</v>
      </c>
      <c r="E482" s="16" t="s">
        <v>41</v>
      </c>
      <c r="F482" s="33" t="s">
        <v>71</v>
      </c>
      <c r="G482" s="17" t="s">
        <v>723</v>
      </c>
      <c r="H482" s="29"/>
    </row>
    <row r="483" spans="1:8">
      <c r="A483" s="28">
        <v>45957</v>
      </c>
      <c r="B483" s="16" t="s">
        <v>76</v>
      </c>
      <c r="C483" s="16" t="s">
        <v>15</v>
      </c>
      <c r="D483" s="16" t="s">
        <v>570</v>
      </c>
      <c r="E483" s="16" t="s">
        <v>41</v>
      </c>
      <c r="F483" s="33" t="s">
        <v>77</v>
      </c>
      <c r="G483" s="17" t="s">
        <v>724</v>
      </c>
      <c r="H483" s="29"/>
    </row>
    <row r="484" spans="1:8" ht="31.5">
      <c r="A484" s="28">
        <v>45957</v>
      </c>
      <c r="B484" s="16" t="s">
        <v>91</v>
      </c>
      <c r="C484" s="16" t="s">
        <v>344</v>
      </c>
      <c r="D484" s="16" t="s">
        <v>686</v>
      </c>
      <c r="E484" s="16" t="s">
        <v>41</v>
      </c>
      <c r="F484" s="33" t="s">
        <v>71</v>
      </c>
      <c r="G484" s="17" t="s">
        <v>725</v>
      </c>
      <c r="H484" s="29"/>
    </row>
    <row r="485" spans="1:8">
      <c r="A485" s="28">
        <v>45958</v>
      </c>
      <c r="B485" s="16" t="s">
        <v>75</v>
      </c>
      <c r="C485" s="16" t="s">
        <v>42</v>
      </c>
      <c r="D485" s="16" t="s">
        <v>165</v>
      </c>
      <c r="E485" s="16" t="s">
        <v>41</v>
      </c>
      <c r="F485" s="33" t="s">
        <v>77</v>
      </c>
      <c r="G485" s="17" t="s">
        <v>129</v>
      </c>
      <c r="H485" s="29"/>
    </row>
    <row r="486" spans="1:8" ht="31.5">
      <c r="A486" s="28">
        <v>45958</v>
      </c>
      <c r="B486" s="16" t="s">
        <v>75</v>
      </c>
      <c r="C486" s="16" t="s">
        <v>458</v>
      </c>
      <c r="D486" s="16" t="s">
        <v>684</v>
      </c>
      <c r="E486" s="16" t="s">
        <v>40</v>
      </c>
      <c r="F486" s="33" t="s">
        <v>71</v>
      </c>
      <c r="G486" s="17" t="s">
        <v>726</v>
      </c>
      <c r="H486" s="29"/>
    </row>
    <row r="487" spans="1:8" ht="31.5">
      <c r="A487" s="28">
        <v>45958</v>
      </c>
      <c r="B487" s="16" t="s">
        <v>75</v>
      </c>
      <c r="C487" s="16" t="s">
        <v>458</v>
      </c>
      <c r="D487" s="16" t="s">
        <v>291</v>
      </c>
      <c r="E487" s="16" t="s">
        <v>40</v>
      </c>
      <c r="F487" s="33" t="s">
        <v>71</v>
      </c>
      <c r="G487" s="17" t="s">
        <v>727</v>
      </c>
      <c r="H487" s="29"/>
    </row>
    <row r="488" spans="1:8">
      <c r="A488" s="28">
        <v>45958</v>
      </c>
      <c r="B488" s="16" t="s">
        <v>91</v>
      </c>
      <c r="C488" s="16" t="s">
        <v>637</v>
      </c>
      <c r="D488" s="16" t="s">
        <v>670</v>
      </c>
      <c r="E488" s="16" t="s">
        <v>41</v>
      </c>
      <c r="F488" s="33" t="s">
        <v>64</v>
      </c>
      <c r="G488" s="17" t="s">
        <v>728</v>
      </c>
      <c r="H488" s="29"/>
    </row>
    <row r="489" spans="1:8">
      <c r="A489" s="28">
        <v>45958</v>
      </c>
      <c r="B489" s="16" t="s">
        <v>76</v>
      </c>
      <c r="C489" s="16" t="s">
        <v>15</v>
      </c>
      <c r="D489" s="16" t="s">
        <v>688</v>
      </c>
      <c r="E489" s="16" t="s">
        <v>41</v>
      </c>
      <c r="F489" s="33" t="s">
        <v>77</v>
      </c>
      <c r="G489" s="17" t="s">
        <v>729</v>
      </c>
      <c r="H489" s="29"/>
    </row>
    <row r="490" spans="1:8">
      <c r="A490" s="28">
        <v>45958</v>
      </c>
      <c r="B490" s="16" t="s">
        <v>75</v>
      </c>
      <c r="C490" s="16" t="s">
        <v>15</v>
      </c>
      <c r="D490" s="16" t="s">
        <v>689</v>
      </c>
      <c r="E490" s="16" t="s">
        <v>41</v>
      </c>
      <c r="F490" s="33" t="s">
        <v>77</v>
      </c>
      <c r="G490" s="17" t="s">
        <v>129</v>
      </c>
      <c r="H490" s="29"/>
    </row>
    <row r="491" spans="1:8">
      <c r="A491" s="28">
        <v>45958</v>
      </c>
      <c r="B491" s="16" t="s">
        <v>91</v>
      </c>
      <c r="C491" s="16" t="s">
        <v>690</v>
      </c>
      <c r="D491" s="16" t="s">
        <v>206</v>
      </c>
      <c r="E491" s="16" t="s">
        <v>41</v>
      </c>
      <c r="F491" s="33" t="s">
        <v>77</v>
      </c>
      <c r="G491" s="17" t="s">
        <v>698</v>
      </c>
      <c r="H491" s="29"/>
    </row>
    <row r="492" spans="1:8">
      <c r="A492" s="28">
        <v>45958</v>
      </c>
      <c r="B492" s="16" t="s">
        <v>91</v>
      </c>
      <c r="C492" s="16" t="s">
        <v>691</v>
      </c>
      <c r="D492" s="16" t="s">
        <v>206</v>
      </c>
      <c r="E492" s="16" t="s">
        <v>41</v>
      </c>
      <c r="F492" s="33" t="s">
        <v>77</v>
      </c>
      <c r="G492" s="17" t="s">
        <v>695</v>
      </c>
      <c r="H492" s="29"/>
    </row>
    <row r="493" spans="1:8" ht="31.5">
      <c r="A493" s="28">
        <v>45958</v>
      </c>
      <c r="B493" s="16" t="s">
        <v>91</v>
      </c>
      <c r="C493" s="16" t="s">
        <v>692</v>
      </c>
      <c r="D493" s="16" t="s">
        <v>696</v>
      </c>
      <c r="E493" s="16" t="s">
        <v>41</v>
      </c>
      <c r="F493" s="33" t="s">
        <v>77</v>
      </c>
      <c r="G493" s="17" t="s">
        <v>718</v>
      </c>
      <c r="H493" s="29"/>
    </row>
    <row r="494" spans="1:8">
      <c r="A494" s="28">
        <v>45958</v>
      </c>
      <c r="B494" s="16" t="s">
        <v>91</v>
      </c>
      <c r="C494" s="16" t="s">
        <v>693</v>
      </c>
      <c r="D494" s="16" t="s">
        <v>701</v>
      </c>
      <c r="E494" s="16" t="s">
        <v>41</v>
      </c>
      <c r="F494" s="33" t="s">
        <v>77</v>
      </c>
      <c r="G494" s="17" t="s">
        <v>245</v>
      </c>
      <c r="H494" s="29"/>
    </row>
    <row r="495" spans="1:8">
      <c r="A495" s="28">
        <v>45959</v>
      </c>
      <c r="B495" s="16" t="s">
        <v>75</v>
      </c>
      <c r="C495" s="16" t="s">
        <v>15</v>
      </c>
      <c r="D495" s="16" t="s">
        <v>687</v>
      </c>
      <c r="E495" s="16" t="s">
        <v>40</v>
      </c>
      <c r="F495" s="33" t="s">
        <v>71</v>
      </c>
      <c r="G495" s="17" t="s">
        <v>694</v>
      </c>
      <c r="H495" s="29"/>
    </row>
    <row r="496" spans="1:8" ht="47.25">
      <c r="A496" s="28">
        <v>45959</v>
      </c>
      <c r="B496" s="16" t="s">
        <v>91</v>
      </c>
      <c r="C496" s="16" t="s">
        <v>637</v>
      </c>
      <c r="D496" s="16" t="s">
        <v>670</v>
      </c>
      <c r="E496" s="16" t="s">
        <v>40</v>
      </c>
      <c r="F496" s="33" t="s">
        <v>71</v>
      </c>
      <c r="G496" s="17" t="s">
        <v>730</v>
      </c>
      <c r="H496" s="29"/>
    </row>
    <row r="497" spans="1:8" ht="47.25">
      <c r="A497" s="28">
        <v>45959</v>
      </c>
      <c r="B497" s="16" t="s">
        <v>91</v>
      </c>
      <c r="C497" s="16" t="s">
        <v>637</v>
      </c>
      <c r="D497" s="16" t="s">
        <v>685</v>
      </c>
      <c r="E497" s="16" t="s">
        <v>40</v>
      </c>
      <c r="F497" s="33" t="s">
        <v>71</v>
      </c>
      <c r="G497" s="17" t="s">
        <v>731</v>
      </c>
      <c r="H497" s="29"/>
    </row>
    <row r="498" spans="1:8" ht="31.5">
      <c r="A498" s="28">
        <v>45959</v>
      </c>
      <c r="B498" s="16" t="s">
        <v>197</v>
      </c>
      <c r="C498" s="16" t="s">
        <v>49</v>
      </c>
      <c r="D498" s="16" t="s">
        <v>373</v>
      </c>
      <c r="E498" s="16" t="s">
        <v>40</v>
      </c>
      <c r="F498" s="33" t="s">
        <v>77</v>
      </c>
      <c r="G498" s="17" t="s">
        <v>732</v>
      </c>
      <c r="H498" s="29"/>
    </row>
    <row r="499" spans="1:8">
      <c r="A499" s="28">
        <v>45960</v>
      </c>
      <c r="B499" s="16" t="s">
        <v>75</v>
      </c>
      <c r="C499" s="16" t="s">
        <v>56</v>
      </c>
      <c r="D499" s="16" t="s">
        <v>194</v>
      </c>
      <c r="E499" s="16" t="s">
        <v>41</v>
      </c>
      <c r="F499" s="33" t="s">
        <v>64</v>
      </c>
      <c r="G499" s="17" t="s">
        <v>699</v>
      </c>
      <c r="H499" s="29"/>
    </row>
    <row r="500" spans="1:8">
      <c r="A500" s="28">
        <v>45960</v>
      </c>
      <c r="B500" s="16" t="s">
        <v>75</v>
      </c>
      <c r="C500" s="16" t="s">
        <v>15</v>
      </c>
      <c r="D500" s="16" t="s">
        <v>134</v>
      </c>
      <c r="E500" s="16" t="s">
        <v>41</v>
      </c>
      <c r="F500" s="33" t="s">
        <v>77</v>
      </c>
      <c r="G500" s="17" t="s">
        <v>129</v>
      </c>
      <c r="H500" s="29"/>
    </row>
    <row r="501" spans="1:8">
      <c r="A501" s="28">
        <v>45960</v>
      </c>
      <c r="B501" s="16" t="s">
        <v>91</v>
      </c>
      <c r="C501" s="16" t="s">
        <v>693</v>
      </c>
      <c r="D501" s="16" t="s">
        <v>697</v>
      </c>
      <c r="E501" s="16" t="s">
        <v>41</v>
      </c>
      <c r="F501" s="33" t="s">
        <v>77</v>
      </c>
      <c r="G501" s="17" t="s">
        <v>245</v>
      </c>
      <c r="H501" s="29"/>
    </row>
    <row r="502" spans="1:8">
      <c r="A502" s="28">
        <v>45960</v>
      </c>
      <c r="B502" s="16" t="s">
        <v>75</v>
      </c>
      <c r="C502" s="16" t="s">
        <v>14</v>
      </c>
      <c r="D502" s="16" t="s">
        <v>142</v>
      </c>
      <c r="E502" s="16" t="s">
        <v>41</v>
      </c>
      <c r="F502" s="33" t="s">
        <v>77</v>
      </c>
      <c r="G502" s="17" t="s">
        <v>129</v>
      </c>
      <c r="H502" s="29"/>
    </row>
    <row r="503" spans="1:8">
      <c r="A503" s="28">
        <v>45960</v>
      </c>
      <c r="B503" s="16" t="s">
        <v>75</v>
      </c>
      <c r="C503" s="16" t="s">
        <v>73</v>
      </c>
      <c r="D503" s="16" t="s">
        <v>164</v>
      </c>
      <c r="E503" s="16" t="s">
        <v>41</v>
      </c>
      <c r="F503" s="33" t="s">
        <v>77</v>
      </c>
      <c r="G503" s="17" t="s">
        <v>714</v>
      </c>
      <c r="H503" s="29"/>
    </row>
    <row r="504" spans="1:8" ht="31.5">
      <c r="A504" s="28">
        <v>45960</v>
      </c>
      <c r="B504" s="16" t="s">
        <v>75</v>
      </c>
      <c r="C504" s="16" t="s">
        <v>15</v>
      </c>
      <c r="D504" s="16" t="s">
        <v>538</v>
      </c>
      <c r="E504" s="16" t="s">
        <v>41</v>
      </c>
      <c r="F504" s="33" t="s">
        <v>71</v>
      </c>
      <c r="G504" s="17" t="s">
        <v>733</v>
      </c>
      <c r="H504" s="29"/>
    </row>
    <row r="505" spans="1:8">
      <c r="A505" s="28">
        <v>45960</v>
      </c>
      <c r="B505" s="16" t="s">
        <v>91</v>
      </c>
      <c r="C505" s="16" t="s">
        <v>693</v>
      </c>
      <c r="D505" s="16" t="s">
        <v>700</v>
      </c>
      <c r="E505" s="16" t="s">
        <v>41</v>
      </c>
      <c r="F505" s="33" t="s">
        <v>71</v>
      </c>
      <c r="G505" s="17" t="s">
        <v>702</v>
      </c>
      <c r="H505" s="29"/>
    </row>
    <row r="506" spans="1:8">
      <c r="A506" s="28">
        <v>45960</v>
      </c>
      <c r="B506" s="16" t="s">
        <v>91</v>
      </c>
      <c r="C506" s="16" t="s">
        <v>704</v>
      </c>
      <c r="D506" s="16" t="s">
        <v>703</v>
      </c>
      <c r="E506" s="16" t="s">
        <v>41</v>
      </c>
      <c r="F506" s="33" t="s">
        <v>77</v>
      </c>
      <c r="G506" s="17" t="s">
        <v>716</v>
      </c>
      <c r="H506" s="29"/>
    </row>
    <row r="507" spans="1:8">
      <c r="A507" s="28">
        <v>45960</v>
      </c>
      <c r="B507" s="16" t="s">
        <v>91</v>
      </c>
      <c r="C507" s="16" t="s">
        <v>705</v>
      </c>
      <c r="D507" s="16" t="s">
        <v>206</v>
      </c>
      <c r="E507" s="16" t="s">
        <v>41</v>
      </c>
      <c r="F507" s="33" t="s">
        <v>71</v>
      </c>
      <c r="G507" s="17" t="s">
        <v>706</v>
      </c>
      <c r="H507" s="29"/>
    </row>
    <row r="508" spans="1:8">
      <c r="A508" s="28">
        <v>45960</v>
      </c>
      <c r="B508" s="16" t="s">
        <v>91</v>
      </c>
      <c r="C508" s="16" t="s">
        <v>707</v>
      </c>
      <c r="D508" s="16" t="s">
        <v>708</v>
      </c>
      <c r="E508" s="16" t="s">
        <v>41</v>
      </c>
      <c r="F508" s="33" t="s">
        <v>77</v>
      </c>
      <c r="G508" s="17" t="s">
        <v>709</v>
      </c>
      <c r="H508" s="29"/>
    </row>
    <row r="509" spans="1:8">
      <c r="A509" s="28">
        <v>45960</v>
      </c>
      <c r="B509" s="16" t="s">
        <v>91</v>
      </c>
      <c r="C509" s="16" t="s">
        <v>710</v>
      </c>
      <c r="D509" s="16" t="s">
        <v>206</v>
      </c>
      <c r="E509" s="16" t="s">
        <v>41</v>
      </c>
      <c r="F509" s="33" t="s">
        <v>71</v>
      </c>
      <c r="G509" s="17" t="s">
        <v>715</v>
      </c>
      <c r="H509" s="29"/>
    </row>
    <row r="510" spans="1:8">
      <c r="A510" s="28">
        <v>45960</v>
      </c>
      <c r="B510" s="16" t="s">
        <v>91</v>
      </c>
      <c r="C510" s="16" t="s">
        <v>711</v>
      </c>
      <c r="D510" s="16" t="s">
        <v>713</v>
      </c>
      <c r="E510" s="16" t="s">
        <v>41</v>
      </c>
      <c r="F510" s="33" t="s">
        <v>77</v>
      </c>
      <c r="G510" s="17" t="s">
        <v>712</v>
      </c>
      <c r="H510" s="29"/>
    </row>
    <row r="511" spans="1:8" ht="31.5">
      <c r="A511" s="28">
        <v>45960</v>
      </c>
      <c r="B511" s="16" t="s">
        <v>91</v>
      </c>
      <c r="C511" s="16" t="s">
        <v>137</v>
      </c>
      <c r="D511" s="16" t="s">
        <v>192</v>
      </c>
      <c r="E511" s="16" t="s">
        <v>41</v>
      </c>
      <c r="F511" s="33" t="s">
        <v>71</v>
      </c>
      <c r="G511" s="17" t="s">
        <v>717</v>
      </c>
      <c r="H511" s="29"/>
    </row>
    <row r="512" spans="1:8" ht="31.5">
      <c r="A512" s="28">
        <v>45960</v>
      </c>
      <c r="B512" s="16" t="s">
        <v>75</v>
      </c>
      <c r="C512" s="16" t="s">
        <v>15</v>
      </c>
      <c r="D512" s="16" t="s">
        <v>626</v>
      </c>
      <c r="E512" s="16" t="s">
        <v>41</v>
      </c>
      <c r="F512" s="33" t="s">
        <v>71</v>
      </c>
      <c r="G512" s="17" t="s">
        <v>737</v>
      </c>
      <c r="H512" s="29"/>
    </row>
    <row r="513" spans="1:8" ht="63">
      <c r="A513" s="28">
        <v>45961</v>
      </c>
      <c r="B513" s="16" t="s">
        <v>197</v>
      </c>
      <c r="C513" s="16" t="s">
        <v>458</v>
      </c>
      <c r="D513" s="16" t="s">
        <v>460</v>
      </c>
      <c r="E513" s="16" t="s">
        <v>41</v>
      </c>
      <c r="F513" s="33" t="s">
        <v>77</v>
      </c>
      <c r="G513" s="17" t="s">
        <v>738</v>
      </c>
      <c r="H513" s="29"/>
    </row>
    <row r="514" spans="1:8" ht="31.5">
      <c r="A514" s="28">
        <v>45961</v>
      </c>
      <c r="B514" s="16" t="s">
        <v>197</v>
      </c>
      <c r="C514" s="16" t="s">
        <v>15</v>
      </c>
      <c r="D514" s="16" t="s">
        <v>734</v>
      </c>
      <c r="E514" s="16" t="s">
        <v>41</v>
      </c>
      <c r="F514" s="33" t="s">
        <v>77</v>
      </c>
      <c r="G514" s="17" t="s">
        <v>739</v>
      </c>
      <c r="H514" s="29"/>
    </row>
    <row r="515" spans="1:8">
      <c r="A515" s="28">
        <v>45961</v>
      </c>
      <c r="B515" s="16" t="s">
        <v>75</v>
      </c>
      <c r="C515" s="16" t="s">
        <v>15</v>
      </c>
      <c r="D515" s="16" t="s">
        <v>537</v>
      </c>
      <c r="E515" s="16" t="s">
        <v>41</v>
      </c>
      <c r="F515" s="33" t="s">
        <v>77</v>
      </c>
      <c r="G515" s="17" t="s">
        <v>740</v>
      </c>
      <c r="H515" s="29"/>
    </row>
    <row r="516" spans="1:8" ht="126">
      <c r="A516" s="28">
        <v>45961</v>
      </c>
      <c r="B516" s="16" t="s">
        <v>75</v>
      </c>
      <c r="C516" s="16" t="s">
        <v>56</v>
      </c>
      <c r="D516" s="16" t="s">
        <v>194</v>
      </c>
      <c r="E516" s="16" t="s">
        <v>40</v>
      </c>
      <c r="F516" s="33" t="s">
        <v>71</v>
      </c>
      <c r="G516" s="17" t="s">
        <v>741</v>
      </c>
      <c r="H516" s="29"/>
    </row>
    <row r="517" spans="1:8" ht="110.25">
      <c r="A517" s="28">
        <v>45961</v>
      </c>
      <c r="B517" s="16" t="s">
        <v>76</v>
      </c>
      <c r="C517" s="16" t="s">
        <v>15</v>
      </c>
      <c r="D517" s="16" t="s">
        <v>736</v>
      </c>
      <c r="E517" s="16" t="s">
        <v>40</v>
      </c>
      <c r="F517" s="33" t="s">
        <v>71</v>
      </c>
      <c r="G517" s="17" t="s">
        <v>742</v>
      </c>
      <c r="H517" s="29"/>
    </row>
    <row r="518" spans="1:8">
      <c r="A518" s="28">
        <v>45961</v>
      </c>
      <c r="B518" s="16" t="s">
        <v>75</v>
      </c>
      <c r="C518" s="16" t="s">
        <v>15</v>
      </c>
      <c r="D518" s="16" t="s">
        <v>134</v>
      </c>
      <c r="E518" s="16" t="s">
        <v>41</v>
      </c>
      <c r="F518" s="33" t="s">
        <v>71</v>
      </c>
      <c r="G518" s="17" t="s">
        <v>743</v>
      </c>
      <c r="H518" s="29"/>
    </row>
    <row r="519" spans="1:8">
      <c r="A519" s="28">
        <v>45961</v>
      </c>
      <c r="B519" s="16" t="s">
        <v>91</v>
      </c>
      <c r="C519" s="16" t="s">
        <v>693</v>
      </c>
      <c r="D519" s="16" t="s">
        <v>735</v>
      </c>
      <c r="E519" s="16" t="s">
        <v>41</v>
      </c>
      <c r="F519" s="33" t="s">
        <v>64</v>
      </c>
      <c r="G519" s="17" t="s">
        <v>744</v>
      </c>
      <c r="H519" s="29"/>
    </row>
    <row r="520" spans="1:8" ht="31.5">
      <c r="A520" s="28">
        <v>45961</v>
      </c>
      <c r="B520" s="16" t="s">
        <v>91</v>
      </c>
      <c r="C520" s="16" t="s">
        <v>693</v>
      </c>
      <c r="D520" s="24" t="s">
        <v>745</v>
      </c>
      <c r="E520" s="16" t="s">
        <v>41</v>
      </c>
      <c r="F520" s="33" t="s">
        <v>64</v>
      </c>
      <c r="G520" s="25" t="s">
        <v>746</v>
      </c>
      <c r="H520" s="39"/>
    </row>
    <row r="521" spans="1:8" ht="16.5" thickBot="1">
      <c r="A521" s="31"/>
      <c r="B521" s="20"/>
      <c r="C521" s="20"/>
      <c r="D521" s="20"/>
      <c r="E521" s="20"/>
      <c r="F521" s="20"/>
      <c r="G521" s="20"/>
      <c r="H521" s="30"/>
    </row>
    <row r="522" spans="1:8" ht="16.5" thickBot="1"/>
    <row r="523" spans="1:8">
      <c r="A523" s="3" t="s">
        <v>70</v>
      </c>
      <c r="B523" s="4" t="s">
        <v>72</v>
      </c>
      <c r="C523" s="4" t="s">
        <v>16</v>
      </c>
      <c r="D523" s="34" t="s">
        <v>155</v>
      </c>
      <c r="E523" s="9" t="s">
        <v>156</v>
      </c>
      <c r="F523" s="10" t="s">
        <v>157</v>
      </c>
    </row>
    <row r="524" spans="1:8">
      <c r="A524" s="122" t="s">
        <v>63</v>
      </c>
      <c r="B524" s="16" t="s">
        <v>68</v>
      </c>
      <c r="C524" s="16">
        <v>11</v>
      </c>
      <c r="D524" s="16">
        <v>11</v>
      </c>
      <c r="E524" s="123">
        <f>D524+D526+D528</f>
        <v>13</v>
      </c>
      <c r="F524" s="124">
        <f>E524/12</f>
        <v>1.0833333333333333</v>
      </c>
    </row>
    <row r="525" spans="1:8">
      <c r="A525" s="122"/>
      <c r="B525" s="125" t="s">
        <v>65</v>
      </c>
      <c r="C525" s="125">
        <v>6</v>
      </c>
      <c r="D525" s="35" t="s">
        <v>158</v>
      </c>
      <c r="E525" s="123"/>
      <c r="F525" s="124"/>
    </row>
    <row r="526" spans="1:8">
      <c r="A526" s="122"/>
      <c r="B526" s="125"/>
      <c r="C526" s="125"/>
      <c r="D526" s="16">
        <f>C525/3</f>
        <v>2</v>
      </c>
      <c r="E526" s="123"/>
      <c r="F526" s="124"/>
    </row>
    <row r="527" spans="1:8">
      <c r="A527" s="122"/>
      <c r="B527" s="125" t="s">
        <v>69</v>
      </c>
      <c r="C527" s="125">
        <v>19</v>
      </c>
      <c r="D527" s="35" t="s">
        <v>159</v>
      </c>
      <c r="E527" s="123"/>
      <c r="F527" s="124"/>
    </row>
    <row r="528" spans="1:8">
      <c r="A528" s="122"/>
      <c r="B528" s="125"/>
      <c r="C528" s="125"/>
      <c r="D528" s="16">
        <v>0</v>
      </c>
      <c r="E528" s="123"/>
      <c r="F528" s="124"/>
    </row>
    <row r="529" spans="1:8">
      <c r="A529" s="36" t="s">
        <v>70</v>
      </c>
      <c r="B529" s="37" t="s">
        <v>72</v>
      </c>
      <c r="C529" s="37"/>
      <c r="D529" s="126" t="s">
        <v>160</v>
      </c>
      <c r="E529" s="126"/>
      <c r="F529" s="127"/>
    </row>
    <row r="530" spans="1:8">
      <c r="A530" s="122" t="s">
        <v>62</v>
      </c>
      <c r="B530" s="16" t="s">
        <v>68</v>
      </c>
      <c r="C530" s="16">
        <v>7</v>
      </c>
      <c r="D530" s="129">
        <f>C530/9</f>
        <v>0.77777777777777779</v>
      </c>
      <c r="E530" s="129"/>
      <c r="F530" s="124"/>
    </row>
    <row r="531" spans="1:8" ht="16.5" thickBot="1">
      <c r="A531" s="128"/>
      <c r="B531" s="20" t="s">
        <v>69</v>
      </c>
      <c r="C531" s="20">
        <v>1</v>
      </c>
      <c r="D531" s="130"/>
      <c r="E531" s="130"/>
      <c r="F531" s="131"/>
    </row>
    <row r="533" spans="1:8" ht="16.5" thickBot="1">
      <c r="A533" s="14" t="s">
        <v>620</v>
      </c>
    </row>
    <row r="534" spans="1:8">
      <c r="A534" s="3" t="s">
        <v>58</v>
      </c>
      <c r="B534" s="4" t="s">
        <v>67</v>
      </c>
      <c r="C534" s="4" t="s">
        <v>3</v>
      </c>
      <c r="D534" s="4" t="s">
        <v>57</v>
      </c>
      <c r="E534" s="4" t="s">
        <v>59</v>
      </c>
      <c r="F534" s="4" t="s">
        <v>61</v>
      </c>
      <c r="G534" s="4" t="s">
        <v>60</v>
      </c>
      <c r="H534" s="5" t="s">
        <v>66</v>
      </c>
    </row>
    <row r="535" spans="1:8">
      <c r="A535" s="28">
        <v>45964</v>
      </c>
      <c r="B535" s="16" t="s">
        <v>75</v>
      </c>
      <c r="C535" s="16" t="s">
        <v>14</v>
      </c>
      <c r="D535" s="16" t="s">
        <v>142</v>
      </c>
      <c r="E535" s="16" t="s">
        <v>41</v>
      </c>
      <c r="F535" s="33" t="s">
        <v>77</v>
      </c>
      <c r="G535" s="17" t="s">
        <v>129</v>
      </c>
      <c r="H535" s="29"/>
    </row>
    <row r="536" spans="1:8">
      <c r="A536" s="28">
        <v>45964</v>
      </c>
      <c r="B536" s="16" t="s">
        <v>91</v>
      </c>
      <c r="C536" s="16" t="s">
        <v>111</v>
      </c>
      <c r="D536" s="16" t="s">
        <v>754</v>
      </c>
      <c r="E536" s="16" t="s">
        <v>41</v>
      </c>
      <c r="F536" s="33" t="s">
        <v>77</v>
      </c>
      <c r="G536" s="17" t="s">
        <v>755</v>
      </c>
      <c r="H536" s="29"/>
    </row>
    <row r="537" spans="1:8">
      <c r="A537" s="28">
        <v>45964</v>
      </c>
      <c r="B537" s="16" t="s">
        <v>197</v>
      </c>
      <c r="C537" s="16" t="s">
        <v>15</v>
      </c>
      <c r="D537" s="16" t="s">
        <v>752</v>
      </c>
      <c r="E537" s="16" t="s">
        <v>41</v>
      </c>
      <c r="F537" s="33" t="s">
        <v>77</v>
      </c>
      <c r="G537" s="17" t="s">
        <v>753</v>
      </c>
      <c r="H537" s="29"/>
    </row>
    <row r="538" spans="1:8">
      <c r="A538" s="28">
        <v>45964</v>
      </c>
      <c r="B538" s="16" t="s">
        <v>75</v>
      </c>
      <c r="C538" s="16" t="s">
        <v>73</v>
      </c>
      <c r="D538" s="16" t="s">
        <v>164</v>
      </c>
      <c r="E538" s="16" t="s">
        <v>41</v>
      </c>
      <c r="F538" s="33" t="s">
        <v>77</v>
      </c>
      <c r="G538" s="17" t="s">
        <v>805</v>
      </c>
      <c r="H538" s="29"/>
    </row>
    <row r="539" spans="1:8">
      <c r="A539" s="28">
        <v>45964</v>
      </c>
      <c r="B539" s="16" t="s">
        <v>75</v>
      </c>
      <c r="C539" s="16" t="s">
        <v>15</v>
      </c>
      <c r="D539" s="16" t="s">
        <v>653</v>
      </c>
      <c r="E539" s="16" t="s">
        <v>41</v>
      </c>
      <c r="F539" s="33" t="s">
        <v>71</v>
      </c>
      <c r="G539" s="17" t="s">
        <v>750</v>
      </c>
      <c r="H539" s="29"/>
    </row>
    <row r="540" spans="1:8" ht="31.5">
      <c r="A540" s="28">
        <v>45964</v>
      </c>
      <c r="B540" s="16" t="s">
        <v>75</v>
      </c>
      <c r="C540" s="16" t="s">
        <v>25</v>
      </c>
      <c r="D540" s="16" t="s">
        <v>751</v>
      </c>
      <c r="E540" s="16" t="s">
        <v>41</v>
      </c>
      <c r="F540" s="33" t="s">
        <v>71</v>
      </c>
      <c r="G540" s="17" t="s">
        <v>794</v>
      </c>
      <c r="H540" s="29"/>
    </row>
    <row r="541" spans="1:8">
      <c r="A541" s="28">
        <v>45964</v>
      </c>
      <c r="B541" s="16" t="s">
        <v>75</v>
      </c>
      <c r="C541" s="16" t="s">
        <v>25</v>
      </c>
      <c r="D541" s="16" t="s">
        <v>497</v>
      </c>
      <c r="E541" s="16" t="s">
        <v>41</v>
      </c>
      <c r="F541" s="33" t="s">
        <v>77</v>
      </c>
      <c r="G541" s="17" t="s">
        <v>129</v>
      </c>
      <c r="H541" s="29"/>
    </row>
    <row r="542" spans="1:8">
      <c r="A542" s="28">
        <v>45964</v>
      </c>
      <c r="B542" s="16" t="s">
        <v>75</v>
      </c>
      <c r="C542" s="16" t="s">
        <v>15</v>
      </c>
      <c r="D542" s="16" t="s">
        <v>529</v>
      </c>
      <c r="E542" s="16" t="s">
        <v>41</v>
      </c>
      <c r="F542" s="33" t="s">
        <v>64</v>
      </c>
      <c r="G542" s="17" t="s">
        <v>791</v>
      </c>
      <c r="H542" s="29"/>
    </row>
    <row r="543" spans="1:8">
      <c r="A543" s="28">
        <v>45965</v>
      </c>
      <c r="B543" s="16" t="s">
        <v>75</v>
      </c>
      <c r="C543" s="16" t="s">
        <v>15</v>
      </c>
      <c r="D543" s="16" t="s">
        <v>560</v>
      </c>
      <c r="E543" s="16" t="s">
        <v>41</v>
      </c>
      <c r="F543" s="33" t="s">
        <v>71</v>
      </c>
      <c r="G543" s="17" t="s">
        <v>792</v>
      </c>
      <c r="H543" s="29"/>
    </row>
    <row r="544" spans="1:8">
      <c r="A544" s="28">
        <v>45965</v>
      </c>
      <c r="B544" s="16" t="s">
        <v>197</v>
      </c>
      <c r="C544" s="16" t="s">
        <v>295</v>
      </c>
      <c r="D544" s="16" t="s">
        <v>296</v>
      </c>
      <c r="E544" s="16" t="s">
        <v>41</v>
      </c>
      <c r="F544" s="33" t="s">
        <v>77</v>
      </c>
      <c r="G544" s="17" t="s">
        <v>795</v>
      </c>
      <c r="H544" s="29"/>
    </row>
    <row r="545" spans="1:8">
      <c r="A545" s="28">
        <v>45965</v>
      </c>
      <c r="B545" s="16" t="s">
        <v>197</v>
      </c>
      <c r="C545" s="16" t="s">
        <v>295</v>
      </c>
      <c r="D545" s="16" t="s">
        <v>765</v>
      </c>
      <c r="E545" s="16" t="s">
        <v>41</v>
      </c>
      <c r="F545" s="33" t="s">
        <v>77</v>
      </c>
      <c r="G545" s="17" t="s">
        <v>796</v>
      </c>
      <c r="H545" s="29"/>
    </row>
    <row r="546" spans="1:8">
      <c r="A546" s="28">
        <v>45965</v>
      </c>
      <c r="B546" s="16" t="s">
        <v>197</v>
      </c>
      <c r="C546" s="16" t="s">
        <v>459</v>
      </c>
      <c r="D546" s="16" t="s">
        <v>461</v>
      </c>
      <c r="E546" s="16" t="s">
        <v>41</v>
      </c>
      <c r="F546" s="33" t="s">
        <v>77</v>
      </c>
      <c r="G546" s="17" t="s">
        <v>797</v>
      </c>
      <c r="H546" s="29"/>
    </row>
    <row r="547" spans="1:8">
      <c r="A547" s="28">
        <v>45965</v>
      </c>
      <c r="B547" s="16" t="s">
        <v>197</v>
      </c>
      <c r="C547" s="16" t="s">
        <v>15</v>
      </c>
      <c r="D547" s="16" t="s">
        <v>752</v>
      </c>
      <c r="E547" s="16" t="s">
        <v>41</v>
      </c>
      <c r="F547" s="33" t="s">
        <v>77</v>
      </c>
      <c r="G547" s="17" t="s">
        <v>129</v>
      </c>
      <c r="H547" s="29"/>
    </row>
    <row r="548" spans="1:8">
      <c r="A548" s="28">
        <v>45965</v>
      </c>
      <c r="B548" s="16" t="s">
        <v>76</v>
      </c>
      <c r="C548" s="16" t="s">
        <v>15</v>
      </c>
      <c r="D548" s="16" t="s">
        <v>756</v>
      </c>
      <c r="E548" s="16" t="s">
        <v>41</v>
      </c>
      <c r="F548" s="33" t="s">
        <v>64</v>
      </c>
      <c r="G548" s="17" t="s">
        <v>798</v>
      </c>
      <c r="H548" s="29"/>
    </row>
    <row r="549" spans="1:8">
      <c r="A549" s="28">
        <v>45966</v>
      </c>
      <c r="B549" s="16" t="s">
        <v>197</v>
      </c>
      <c r="C549" s="16" t="s">
        <v>295</v>
      </c>
      <c r="D549" s="16" t="s">
        <v>296</v>
      </c>
      <c r="E549" s="16" t="s">
        <v>41</v>
      </c>
      <c r="F549" s="33" t="s">
        <v>77</v>
      </c>
      <c r="G549" s="17" t="s">
        <v>796</v>
      </c>
      <c r="H549" s="29"/>
    </row>
    <row r="550" spans="1:8">
      <c r="A550" s="28">
        <v>45966</v>
      </c>
      <c r="B550" s="16" t="s">
        <v>197</v>
      </c>
      <c r="C550" s="16" t="s">
        <v>295</v>
      </c>
      <c r="D550" s="16" t="s">
        <v>765</v>
      </c>
      <c r="E550" s="16" t="s">
        <v>41</v>
      </c>
      <c r="F550" s="33" t="s">
        <v>77</v>
      </c>
      <c r="G550" s="17" t="s">
        <v>796</v>
      </c>
      <c r="H550" s="29"/>
    </row>
    <row r="551" spans="1:8">
      <c r="A551" s="28">
        <v>45966</v>
      </c>
      <c r="B551" s="16" t="s">
        <v>197</v>
      </c>
      <c r="C551" s="16" t="s">
        <v>459</v>
      </c>
      <c r="D551" s="16" t="s">
        <v>461</v>
      </c>
      <c r="E551" s="16" t="s">
        <v>41</v>
      </c>
      <c r="F551" s="33" t="s">
        <v>77</v>
      </c>
      <c r="G551" s="17" t="s">
        <v>799</v>
      </c>
      <c r="H551" s="29"/>
    </row>
    <row r="552" spans="1:8">
      <c r="A552" s="28">
        <v>45966</v>
      </c>
      <c r="B552" s="16" t="s">
        <v>91</v>
      </c>
      <c r="C552" s="16" t="s">
        <v>693</v>
      </c>
      <c r="D552" s="16" t="s">
        <v>757</v>
      </c>
      <c r="E552" s="16" t="s">
        <v>41</v>
      </c>
      <c r="F552" s="33" t="s">
        <v>64</v>
      </c>
      <c r="G552" s="17" t="s">
        <v>800</v>
      </c>
      <c r="H552" s="29"/>
    </row>
    <row r="553" spans="1:8">
      <c r="A553" s="28">
        <v>45966</v>
      </c>
      <c r="B553" s="16" t="s">
        <v>91</v>
      </c>
      <c r="C553" s="16" t="s">
        <v>633</v>
      </c>
      <c r="D553" s="16" t="s">
        <v>634</v>
      </c>
      <c r="E553" s="16" t="s">
        <v>41</v>
      </c>
      <c r="F553" s="33" t="s">
        <v>77</v>
      </c>
      <c r="G553" s="17" t="s">
        <v>444</v>
      </c>
      <c r="H553" s="29"/>
    </row>
    <row r="554" spans="1:8">
      <c r="A554" s="28">
        <v>45966</v>
      </c>
      <c r="B554" s="16" t="s">
        <v>91</v>
      </c>
      <c r="C554" s="16" t="s">
        <v>692</v>
      </c>
      <c r="D554" s="16" t="s">
        <v>696</v>
      </c>
      <c r="E554" s="16" t="s">
        <v>41</v>
      </c>
      <c r="F554" s="33" t="s">
        <v>77</v>
      </c>
      <c r="G554" s="17" t="s">
        <v>129</v>
      </c>
      <c r="H554" s="29"/>
    </row>
    <row r="555" spans="1:8">
      <c r="A555" s="28">
        <v>45966</v>
      </c>
      <c r="B555" s="16" t="s">
        <v>91</v>
      </c>
      <c r="C555" s="16" t="s">
        <v>344</v>
      </c>
      <c r="D555" s="16" t="s">
        <v>686</v>
      </c>
      <c r="E555" s="16" t="s">
        <v>41</v>
      </c>
      <c r="F555" s="33" t="s">
        <v>77</v>
      </c>
      <c r="G555" s="17" t="s">
        <v>793</v>
      </c>
      <c r="H555" s="29"/>
    </row>
    <row r="556" spans="1:8">
      <c r="A556" s="28">
        <v>45966</v>
      </c>
      <c r="B556" s="16" t="s">
        <v>75</v>
      </c>
      <c r="C556" s="16" t="s">
        <v>15</v>
      </c>
      <c r="D556" s="16" t="s">
        <v>529</v>
      </c>
      <c r="E556" s="16" t="s">
        <v>40</v>
      </c>
      <c r="F556" s="33" t="s">
        <v>71</v>
      </c>
      <c r="G556" s="17" t="s">
        <v>801</v>
      </c>
      <c r="H556" s="29"/>
    </row>
    <row r="557" spans="1:8">
      <c r="A557" s="28">
        <v>45966</v>
      </c>
      <c r="B557" s="16" t="s">
        <v>197</v>
      </c>
      <c r="C557" s="16" t="s">
        <v>15</v>
      </c>
      <c r="D557" s="16" t="s">
        <v>492</v>
      </c>
      <c r="E557" s="16" t="s">
        <v>40</v>
      </c>
      <c r="F557" s="33" t="s">
        <v>77</v>
      </c>
      <c r="G557" s="17" t="s">
        <v>802</v>
      </c>
      <c r="H557" s="29"/>
    </row>
    <row r="558" spans="1:8">
      <c r="A558" s="28">
        <v>45966</v>
      </c>
      <c r="B558" s="16" t="s">
        <v>75</v>
      </c>
      <c r="C558" s="16" t="s">
        <v>56</v>
      </c>
      <c r="D558" s="16" t="s">
        <v>466</v>
      </c>
      <c r="E558" s="16" t="s">
        <v>41</v>
      </c>
      <c r="F558" s="33" t="s">
        <v>77</v>
      </c>
      <c r="G558" s="17" t="s">
        <v>782</v>
      </c>
      <c r="H558" s="29"/>
    </row>
    <row r="559" spans="1:8">
      <c r="A559" s="28">
        <v>45967</v>
      </c>
      <c r="B559" s="16" t="s">
        <v>91</v>
      </c>
      <c r="C559" s="16" t="s">
        <v>707</v>
      </c>
      <c r="D559" s="16" t="s">
        <v>766</v>
      </c>
      <c r="E559" s="16" t="s">
        <v>41</v>
      </c>
      <c r="F559" s="33" t="s">
        <v>77</v>
      </c>
      <c r="G559" s="17" t="s">
        <v>783</v>
      </c>
      <c r="H559" s="29"/>
    </row>
    <row r="560" spans="1:8">
      <c r="A560" s="28">
        <v>45967</v>
      </c>
      <c r="B560" s="16" t="s">
        <v>91</v>
      </c>
      <c r="C560" s="16" t="s">
        <v>707</v>
      </c>
      <c r="D560" s="16" t="s">
        <v>206</v>
      </c>
      <c r="E560" s="16" t="s">
        <v>41</v>
      </c>
      <c r="F560" s="33" t="s">
        <v>77</v>
      </c>
      <c r="G560" s="17" t="s">
        <v>784</v>
      </c>
      <c r="H560" s="29"/>
    </row>
    <row r="561" spans="1:8">
      <c r="A561" s="28">
        <v>45967</v>
      </c>
      <c r="B561" s="16" t="s">
        <v>91</v>
      </c>
      <c r="C561" s="16" t="s">
        <v>758</v>
      </c>
      <c r="D561" s="16" t="s">
        <v>767</v>
      </c>
      <c r="E561" s="16" t="s">
        <v>41</v>
      </c>
      <c r="F561" s="33" t="s">
        <v>77</v>
      </c>
      <c r="G561" s="17" t="s">
        <v>768</v>
      </c>
      <c r="H561" s="29"/>
    </row>
    <row r="562" spans="1:8">
      <c r="A562" s="28">
        <v>45967</v>
      </c>
      <c r="B562" s="16" t="s">
        <v>91</v>
      </c>
      <c r="C562" s="16" t="s">
        <v>759</v>
      </c>
      <c r="D562" s="16" t="s">
        <v>769</v>
      </c>
      <c r="E562" s="16" t="s">
        <v>41</v>
      </c>
      <c r="F562" s="33" t="s">
        <v>71</v>
      </c>
      <c r="G562" s="17" t="s">
        <v>788</v>
      </c>
      <c r="H562" s="29"/>
    </row>
    <row r="563" spans="1:8">
      <c r="A563" s="28">
        <v>45967</v>
      </c>
      <c r="B563" s="16" t="s">
        <v>75</v>
      </c>
      <c r="C563" s="16" t="s">
        <v>15</v>
      </c>
      <c r="D563" s="16" t="s">
        <v>760</v>
      </c>
      <c r="E563" s="16" t="s">
        <v>41</v>
      </c>
      <c r="F563" s="33" t="s">
        <v>64</v>
      </c>
      <c r="G563" s="17" t="s">
        <v>789</v>
      </c>
      <c r="H563" s="29"/>
    </row>
    <row r="564" spans="1:8" ht="63">
      <c r="A564" s="28">
        <v>45967</v>
      </c>
      <c r="B564" s="16" t="s">
        <v>76</v>
      </c>
      <c r="C564" s="16" t="s">
        <v>15</v>
      </c>
      <c r="D564" s="16" t="s">
        <v>764</v>
      </c>
      <c r="E564" s="16" t="s">
        <v>40</v>
      </c>
      <c r="F564" s="33" t="s">
        <v>71</v>
      </c>
      <c r="G564" s="17" t="s">
        <v>803</v>
      </c>
      <c r="H564" s="29"/>
    </row>
    <row r="565" spans="1:8">
      <c r="A565" s="28">
        <v>45967</v>
      </c>
      <c r="B565" s="16" t="s">
        <v>91</v>
      </c>
      <c r="C565" s="16" t="s">
        <v>761</v>
      </c>
      <c r="D565" s="16" t="s">
        <v>206</v>
      </c>
      <c r="E565" s="16" t="s">
        <v>41</v>
      </c>
      <c r="F565" s="33" t="s">
        <v>77</v>
      </c>
      <c r="G565" s="17" t="s">
        <v>785</v>
      </c>
      <c r="H565" s="29"/>
    </row>
    <row r="566" spans="1:8">
      <c r="A566" s="28">
        <v>45967</v>
      </c>
      <c r="B566" s="16" t="s">
        <v>91</v>
      </c>
      <c r="C566" t="s">
        <v>762</v>
      </c>
      <c r="D566" s="16" t="s">
        <v>206</v>
      </c>
      <c r="E566" s="16" t="s">
        <v>41</v>
      </c>
      <c r="F566" s="33" t="s">
        <v>77</v>
      </c>
      <c r="G566" s="17" t="s">
        <v>787</v>
      </c>
      <c r="H566" s="29"/>
    </row>
    <row r="567" spans="1:8">
      <c r="A567" s="28">
        <v>45967</v>
      </c>
      <c r="B567" s="16" t="s">
        <v>91</v>
      </c>
      <c r="C567" s="16" t="s">
        <v>763</v>
      </c>
      <c r="D567" s="16" t="s">
        <v>206</v>
      </c>
      <c r="E567" s="16" t="s">
        <v>41</v>
      </c>
      <c r="F567" s="33" t="s">
        <v>77</v>
      </c>
      <c r="G567" s="17" t="s">
        <v>787</v>
      </c>
      <c r="H567" s="29"/>
    </row>
    <row r="568" spans="1:8">
      <c r="A568" s="28">
        <v>45967</v>
      </c>
      <c r="B568" s="16" t="s">
        <v>197</v>
      </c>
      <c r="C568" s="16" t="s">
        <v>295</v>
      </c>
      <c r="D568" s="16" t="s">
        <v>765</v>
      </c>
      <c r="E568" s="16" t="s">
        <v>41</v>
      </c>
      <c r="F568" s="33" t="s">
        <v>77</v>
      </c>
      <c r="G568" s="17" t="s">
        <v>796</v>
      </c>
      <c r="H568" s="29"/>
    </row>
    <row r="569" spans="1:8" ht="104.1" customHeight="1">
      <c r="A569" s="28">
        <v>45968</v>
      </c>
      <c r="B569" s="16" t="s">
        <v>91</v>
      </c>
      <c r="C569" s="16" t="s">
        <v>693</v>
      </c>
      <c r="D569" s="16" t="s">
        <v>774</v>
      </c>
      <c r="E569" s="16" t="s">
        <v>40</v>
      </c>
      <c r="F569" s="33" t="s">
        <v>71</v>
      </c>
      <c r="G569" s="17" t="s">
        <v>804</v>
      </c>
      <c r="H569" s="29"/>
    </row>
    <row r="570" spans="1:8">
      <c r="A570" s="28">
        <v>45968</v>
      </c>
      <c r="B570" s="16" t="s">
        <v>75</v>
      </c>
      <c r="C570" s="16" t="s">
        <v>770</v>
      </c>
      <c r="D570" s="16" t="s">
        <v>771</v>
      </c>
      <c r="E570" s="16" t="s">
        <v>41</v>
      </c>
      <c r="F570" s="33" t="s">
        <v>77</v>
      </c>
      <c r="G570" s="17" t="s">
        <v>129</v>
      </c>
      <c r="H570" s="29"/>
    </row>
    <row r="571" spans="1:8">
      <c r="A571" s="28">
        <v>45968</v>
      </c>
      <c r="B571" s="16" t="s">
        <v>75</v>
      </c>
      <c r="C571" s="16" t="s">
        <v>770</v>
      </c>
      <c r="D571" s="16" t="s">
        <v>772</v>
      </c>
      <c r="E571" s="16" t="s">
        <v>41</v>
      </c>
      <c r="F571" s="33" t="s">
        <v>77</v>
      </c>
      <c r="G571" s="17" t="s">
        <v>779</v>
      </c>
      <c r="H571" s="29"/>
    </row>
    <row r="572" spans="1:8">
      <c r="A572" s="28">
        <v>45968</v>
      </c>
      <c r="B572" s="16" t="s">
        <v>75</v>
      </c>
      <c r="C572" s="16" t="s">
        <v>770</v>
      </c>
      <c r="D572" s="16" t="s">
        <v>773</v>
      </c>
      <c r="E572" s="16" t="s">
        <v>41</v>
      </c>
      <c r="F572" s="33" t="s">
        <v>77</v>
      </c>
      <c r="G572" s="17" t="s">
        <v>444</v>
      </c>
      <c r="H572" s="29"/>
    </row>
    <row r="573" spans="1:8">
      <c r="A573" s="28">
        <v>45968</v>
      </c>
      <c r="B573" s="16" t="s">
        <v>91</v>
      </c>
      <c r="C573" s="16" t="s">
        <v>95</v>
      </c>
      <c r="D573" s="24" t="s">
        <v>524</v>
      </c>
      <c r="E573" s="16" t="s">
        <v>41</v>
      </c>
      <c r="F573" s="33" t="s">
        <v>77</v>
      </c>
      <c r="G573" s="17" t="s">
        <v>129</v>
      </c>
      <c r="H573" s="39"/>
    </row>
    <row r="574" spans="1:8">
      <c r="A574" s="28">
        <v>45968</v>
      </c>
      <c r="B574" s="16" t="s">
        <v>91</v>
      </c>
      <c r="C574" s="16" t="s">
        <v>95</v>
      </c>
      <c r="D574" s="24" t="s">
        <v>127</v>
      </c>
      <c r="E574" s="16" t="s">
        <v>41</v>
      </c>
      <c r="F574" s="33" t="s">
        <v>77</v>
      </c>
      <c r="G574" s="17" t="s">
        <v>129</v>
      </c>
      <c r="H574" s="39"/>
    </row>
    <row r="575" spans="1:8">
      <c r="A575" s="28">
        <v>45968</v>
      </c>
      <c r="B575" s="16" t="s">
        <v>91</v>
      </c>
      <c r="C575" s="16" t="s">
        <v>775</v>
      </c>
      <c r="D575" s="24" t="s">
        <v>776</v>
      </c>
      <c r="E575" s="16" t="s">
        <v>41</v>
      </c>
      <c r="F575" s="33" t="s">
        <v>64</v>
      </c>
      <c r="G575" s="25" t="s">
        <v>786</v>
      </c>
      <c r="H575" s="39"/>
    </row>
    <row r="576" spans="1:8">
      <c r="A576" s="28">
        <v>45968</v>
      </c>
      <c r="B576" s="16" t="s">
        <v>75</v>
      </c>
      <c r="C576" s="16" t="s">
        <v>561</v>
      </c>
      <c r="D576" s="24" t="s">
        <v>565</v>
      </c>
      <c r="E576" s="16" t="s">
        <v>41</v>
      </c>
      <c r="F576" s="33" t="s">
        <v>77</v>
      </c>
      <c r="G576" s="25" t="s">
        <v>781</v>
      </c>
      <c r="H576" s="39"/>
    </row>
    <row r="577" spans="1:8">
      <c r="A577" s="28">
        <v>45968</v>
      </c>
      <c r="B577" s="16" t="s">
        <v>91</v>
      </c>
      <c r="C577" s="16" t="s">
        <v>111</v>
      </c>
      <c r="D577" s="24" t="s">
        <v>777</v>
      </c>
      <c r="E577" s="16" t="s">
        <v>41</v>
      </c>
      <c r="F577" s="33" t="s">
        <v>71</v>
      </c>
      <c r="G577" s="25" t="s">
        <v>806</v>
      </c>
      <c r="H577" s="39"/>
    </row>
    <row r="578" spans="1:8">
      <c r="A578" s="28">
        <v>45968</v>
      </c>
      <c r="B578" s="16" t="s">
        <v>91</v>
      </c>
      <c r="C578" s="16" t="s">
        <v>111</v>
      </c>
      <c r="D578" s="24" t="s">
        <v>461</v>
      </c>
      <c r="E578" s="16" t="s">
        <v>41</v>
      </c>
      <c r="F578" s="38" t="s">
        <v>71</v>
      </c>
      <c r="G578" s="25" t="s">
        <v>790</v>
      </c>
      <c r="H578" s="39"/>
    </row>
    <row r="579" spans="1:8">
      <c r="A579" s="28">
        <v>45968</v>
      </c>
      <c r="B579" s="16" t="s">
        <v>91</v>
      </c>
      <c r="C579" s="16" t="s">
        <v>111</v>
      </c>
      <c r="D579" s="24" t="s">
        <v>754</v>
      </c>
      <c r="E579" s="16" t="s">
        <v>41</v>
      </c>
      <c r="F579" s="38" t="s">
        <v>77</v>
      </c>
      <c r="G579" s="25" t="s">
        <v>613</v>
      </c>
      <c r="H579" s="39"/>
    </row>
    <row r="580" spans="1:8">
      <c r="A580" s="28">
        <v>45968</v>
      </c>
      <c r="B580" s="16" t="s">
        <v>197</v>
      </c>
      <c r="C580" s="24" t="s">
        <v>15</v>
      </c>
      <c r="D580" s="24" t="s">
        <v>752</v>
      </c>
      <c r="E580" s="16" t="s">
        <v>41</v>
      </c>
      <c r="F580" s="38" t="s">
        <v>77</v>
      </c>
      <c r="G580" s="25" t="s">
        <v>778</v>
      </c>
      <c r="H580" s="39"/>
    </row>
    <row r="581" spans="1:8" ht="16.5" thickBot="1">
      <c r="A581" s="31"/>
      <c r="B581" s="20"/>
      <c r="C581" s="20"/>
      <c r="D581" s="20"/>
      <c r="E581" s="20"/>
      <c r="F581" s="20"/>
      <c r="G581" s="20"/>
      <c r="H581" s="30"/>
    </row>
    <row r="582" spans="1:8" ht="16.5" thickBot="1"/>
    <row r="583" spans="1:8">
      <c r="A583" s="3" t="s">
        <v>70</v>
      </c>
      <c r="B583" s="4" t="s">
        <v>72</v>
      </c>
      <c r="C583" s="4" t="s">
        <v>16</v>
      </c>
      <c r="D583" s="34" t="s">
        <v>155</v>
      </c>
      <c r="E583" s="9" t="s">
        <v>156</v>
      </c>
      <c r="F583" s="10" t="s">
        <v>157</v>
      </c>
    </row>
    <row r="584" spans="1:8">
      <c r="A584" s="122" t="s">
        <v>63</v>
      </c>
      <c r="B584" s="16" t="s">
        <v>68</v>
      </c>
      <c r="C584" s="16">
        <v>5</v>
      </c>
      <c r="D584" s="16">
        <v>5</v>
      </c>
      <c r="E584" s="123">
        <f>D584+D586+D588</f>
        <v>7</v>
      </c>
      <c r="F584" s="124">
        <f>E584/12</f>
        <v>0.58333333333333337</v>
      </c>
    </row>
    <row r="585" spans="1:8">
      <c r="A585" s="122"/>
      <c r="B585" s="125" t="s">
        <v>65</v>
      </c>
      <c r="C585" s="125">
        <v>6</v>
      </c>
      <c r="D585" s="35" t="s">
        <v>158</v>
      </c>
      <c r="E585" s="123"/>
      <c r="F585" s="124"/>
    </row>
    <row r="586" spans="1:8">
      <c r="A586" s="122"/>
      <c r="B586" s="125"/>
      <c r="C586" s="125"/>
      <c r="D586" s="16">
        <f>C585/3</f>
        <v>2</v>
      </c>
      <c r="E586" s="123"/>
      <c r="F586" s="124"/>
    </row>
    <row r="587" spans="1:8">
      <c r="A587" s="122"/>
      <c r="B587" s="125" t="s">
        <v>69</v>
      </c>
      <c r="C587" s="125">
        <v>30</v>
      </c>
      <c r="D587" s="35" t="s">
        <v>159</v>
      </c>
      <c r="E587" s="123"/>
      <c r="F587" s="124"/>
    </row>
    <row r="588" spans="1:8">
      <c r="A588" s="122"/>
      <c r="B588" s="125"/>
      <c r="C588" s="125"/>
      <c r="D588" s="16">
        <v>0</v>
      </c>
      <c r="E588" s="123"/>
      <c r="F588" s="124"/>
    </row>
    <row r="589" spans="1:8">
      <c r="A589" s="36" t="s">
        <v>70</v>
      </c>
      <c r="B589" s="37" t="s">
        <v>72</v>
      </c>
      <c r="C589" s="37"/>
      <c r="D589" s="126" t="s">
        <v>160</v>
      </c>
      <c r="E589" s="126"/>
      <c r="F589" s="127"/>
    </row>
    <row r="590" spans="1:8">
      <c r="A590" s="122" t="s">
        <v>62</v>
      </c>
      <c r="B590" s="16" t="s">
        <v>68</v>
      </c>
      <c r="C590" s="16">
        <v>3</v>
      </c>
      <c r="D590" s="129">
        <f>C590/9</f>
        <v>0.33333333333333331</v>
      </c>
      <c r="E590" s="129"/>
      <c r="F590" s="124"/>
    </row>
    <row r="591" spans="1:8" ht="16.5" thickBot="1">
      <c r="A591" s="128"/>
      <c r="B591" s="20" t="s">
        <v>69</v>
      </c>
      <c r="C591" s="20">
        <v>1</v>
      </c>
      <c r="D591" s="130"/>
      <c r="E591" s="130"/>
      <c r="F591" s="131"/>
    </row>
    <row r="592" spans="1:8" ht="12.75" customHeight="1"/>
    <row r="593" spans="1:8" ht="16.5" thickBot="1">
      <c r="A593" s="14" t="s">
        <v>621</v>
      </c>
    </row>
    <row r="594" spans="1:8">
      <c r="A594" s="3" t="s">
        <v>58</v>
      </c>
      <c r="B594" s="4" t="s">
        <v>67</v>
      </c>
      <c r="C594" s="4" t="s">
        <v>3</v>
      </c>
      <c r="D594" s="4" t="s">
        <v>57</v>
      </c>
      <c r="E594" s="4" t="s">
        <v>59</v>
      </c>
      <c r="F594" s="4" t="s">
        <v>61</v>
      </c>
      <c r="G594" s="4" t="s">
        <v>60</v>
      </c>
      <c r="H594" s="5" t="s">
        <v>66</v>
      </c>
    </row>
    <row r="595" spans="1:8">
      <c r="A595" s="28">
        <v>45971</v>
      </c>
      <c r="B595" s="16" t="s">
        <v>75</v>
      </c>
      <c r="C595" s="16" t="s">
        <v>15</v>
      </c>
      <c r="D595" s="16" t="s">
        <v>760</v>
      </c>
      <c r="E595" s="16" t="s">
        <v>41</v>
      </c>
      <c r="F595" s="33" t="s">
        <v>64</v>
      </c>
      <c r="G595" s="17" t="s">
        <v>810</v>
      </c>
      <c r="H595" s="29"/>
    </row>
    <row r="596" spans="1:8">
      <c r="A596" s="28">
        <v>45971</v>
      </c>
      <c r="B596" s="16" t="s">
        <v>197</v>
      </c>
      <c r="C596" s="16" t="s">
        <v>15</v>
      </c>
      <c r="D596" s="16" t="s">
        <v>492</v>
      </c>
      <c r="E596" s="16" t="s">
        <v>63</v>
      </c>
      <c r="F596" s="33" t="s">
        <v>64</v>
      </c>
      <c r="G596" s="17" t="s">
        <v>811</v>
      </c>
      <c r="H596" s="29"/>
    </row>
    <row r="597" spans="1:8">
      <c r="A597" s="28">
        <v>45971</v>
      </c>
      <c r="B597" s="16" t="s">
        <v>75</v>
      </c>
      <c r="C597" s="16" t="s">
        <v>15</v>
      </c>
      <c r="D597" s="16" t="s">
        <v>812</v>
      </c>
      <c r="E597" s="16" t="s">
        <v>63</v>
      </c>
      <c r="F597" s="33" t="s">
        <v>71</v>
      </c>
      <c r="G597" s="17" t="s">
        <v>813</v>
      </c>
      <c r="H597" s="29"/>
    </row>
    <row r="598" spans="1:8">
      <c r="A598" s="28">
        <v>45971</v>
      </c>
      <c r="B598" s="16" t="s">
        <v>91</v>
      </c>
      <c r="C598" s="16" t="s">
        <v>775</v>
      </c>
      <c r="D598" s="16" t="s">
        <v>776</v>
      </c>
      <c r="E598" s="16" t="s">
        <v>63</v>
      </c>
      <c r="F598" s="33" t="s">
        <v>64</v>
      </c>
      <c r="G598" s="17" t="s">
        <v>816</v>
      </c>
      <c r="H598" s="29"/>
    </row>
    <row r="599" spans="1:8">
      <c r="A599" s="28">
        <v>45971</v>
      </c>
      <c r="B599" s="16" t="s">
        <v>91</v>
      </c>
      <c r="C599" s="16" t="s">
        <v>111</v>
      </c>
      <c r="D599" s="16" t="s">
        <v>754</v>
      </c>
      <c r="E599" s="16" t="s">
        <v>63</v>
      </c>
      <c r="F599" s="33" t="s">
        <v>77</v>
      </c>
      <c r="G599" s="17" t="s">
        <v>129</v>
      </c>
      <c r="H599" s="29"/>
    </row>
    <row r="600" spans="1:8">
      <c r="A600" s="28">
        <v>45971</v>
      </c>
      <c r="B600" s="16" t="s">
        <v>75</v>
      </c>
      <c r="C600" s="16" t="s">
        <v>42</v>
      </c>
      <c r="D600" s="16" t="s">
        <v>814</v>
      </c>
      <c r="E600" s="16" t="s">
        <v>63</v>
      </c>
      <c r="F600" s="33" t="s">
        <v>77</v>
      </c>
      <c r="G600" s="17" t="s">
        <v>129</v>
      </c>
      <c r="H600" s="29"/>
    </row>
    <row r="601" spans="1:8">
      <c r="A601" s="28">
        <v>45971</v>
      </c>
      <c r="B601" s="16" t="s">
        <v>75</v>
      </c>
      <c r="C601" s="16" t="s">
        <v>561</v>
      </c>
      <c r="D601" s="16" t="s">
        <v>565</v>
      </c>
      <c r="E601" s="16" t="s">
        <v>63</v>
      </c>
      <c r="F601" s="33" t="s">
        <v>77</v>
      </c>
      <c r="G601" s="17" t="s">
        <v>817</v>
      </c>
      <c r="H601" s="29"/>
    </row>
    <row r="602" spans="1:8" ht="31.5">
      <c r="A602" s="28">
        <v>45971</v>
      </c>
      <c r="B602" s="16" t="s">
        <v>91</v>
      </c>
      <c r="C602" s="16" t="s">
        <v>95</v>
      </c>
      <c r="D602" s="16" t="s">
        <v>815</v>
      </c>
      <c r="E602" s="16" t="s">
        <v>63</v>
      </c>
      <c r="F602" s="33" t="s">
        <v>71</v>
      </c>
      <c r="G602" s="17" t="s">
        <v>818</v>
      </c>
      <c r="H602" s="29"/>
    </row>
    <row r="603" spans="1:8" ht="31.5">
      <c r="A603" s="28">
        <v>45972</v>
      </c>
      <c r="B603" s="16" t="s">
        <v>75</v>
      </c>
      <c r="C603" s="16" t="s">
        <v>561</v>
      </c>
      <c r="D603" s="16" t="s">
        <v>565</v>
      </c>
      <c r="E603" s="16" t="s">
        <v>63</v>
      </c>
      <c r="F603" s="33" t="s">
        <v>71</v>
      </c>
      <c r="G603" s="17" t="s">
        <v>840</v>
      </c>
      <c r="H603" s="29"/>
    </row>
    <row r="604" spans="1:8">
      <c r="A604" s="28">
        <v>45972</v>
      </c>
      <c r="B604" s="16" t="s">
        <v>75</v>
      </c>
      <c r="C604" s="16" t="s">
        <v>42</v>
      </c>
      <c r="D604" s="16" t="s">
        <v>814</v>
      </c>
      <c r="E604" s="16" t="s">
        <v>63</v>
      </c>
      <c r="F604" s="33" t="s">
        <v>77</v>
      </c>
      <c r="G604" s="17" t="s">
        <v>819</v>
      </c>
      <c r="H604" s="29"/>
    </row>
    <row r="605" spans="1:8">
      <c r="A605" s="28">
        <v>45972</v>
      </c>
      <c r="B605" s="16" t="s">
        <v>91</v>
      </c>
      <c r="C605" s="16" t="s">
        <v>820</v>
      </c>
      <c r="D605" s="16" t="s">
        <v>686</v>
      </c>
      <c r="E605" s="16" t="s">
        <v>63</v>
      </c>
      <c r="F605" s="33" t="s">
        <v>77</v>
      </c>
      <c r="G605" s="17" t="s">
        <v>129</v>
      </c>
      <c r="H605" s="29"/>
    </row>
    <row r="606" spans="1:8">
      <c r="A606" s="28">
        <v>45972</v>
      </c>
      <c r="B606" s="16" t="s">
        <v>91</v>
      </c>
      <c r="C606" s="16" t="s">
        <v>822</v>
      </c>
      <c r="D606" s="16" t="s">
        <v>821</v>
      </c>
      <c r="E606" s="16" t="s">
        <v>63</v>
      </c>
      <c r="F606" s="33" t="s">
        <v>71</v>
      </c>
      <c r="G606" s="17" t="s">
        <v>824</v>
      </c>
      <c r="H606" s="29"/>
    </row>
    <row r="607" spans="1:8">
      <c r="A607" s="28">
        <v>45972</v>
      </c>
      <c r="B607" s="16" t="s">
        <v>91</v>
      </c>
      <c r="C607" s="16" t="s">
        <v>823</v>
      </c>
      <c r="D607" s="16" t="s">
        <v>825</v>
      </c>
      <c r="E607" s="16" t="s">
        <v>63</v>
      </c>
      <c r="F607" s="33" t="s">
        <v>77</v>
      </c>
      <c r="G607" s="17" t="s">
        <v>826</v>
      </c>
      <c r="H607" s="29"/>
    </row>
    <row r="608" spans="1:8">
      <c r="A608" s="28">
        <v>45972</v>
      </c>
      <c r="B608" s="16" t="s">
        <v>91</v>
      </c>
      <c r="C608" s="16" t="s">
        <v>827</v>
      </c>
      <c r="D608" s="16" t="s">
        <v>829</v>
      </c>
      <c r="E608" s="16" t="s">
        <v>63</v>
      </c>
      <c r="F608" s="33" t="s">
        <v>77</v>
      </c>
      <c r="G608" s="17" t="s">
        <v>129</v>
      </c>
      <c r="H608" s="29"/>
    </row>
    <row r="609" spans="1:8">
      <c r="A609" s="28">
        <v>45972</v>
      </c>
      <c r="B609" s="16" t="s">
        <v>91</v>
      </c>
      <c r="C609" s="16" t="s">
        <v>830</v>
      </c>
      <c r="D609" s="16" t="s">
        <v>831</v>
      </c>
      <c r="E609" s="16" t="s">
        <v>63</v>
      </c>
      <c r="F609" s="33" t="s">
        <v>77</v>
      </c>
      <c r="G609" s="17" t="s">
        <v>834</v>
      </c>
      <c r="H609" s="29"/>
    </row>
    <row r="610" spans="1:8" ht="31.5">
      <c r="A610" s="28">
        <v>45972</v>
      </c>
      <c r="B610" s="16" t="s">
        <v>91</v>
      </c>
      <c r="C610" s="16" t="s">
        <v>832</v>
      </c>
      <c r="D610" s="16" t="s">
        <v>833</v>
      </c>
      <c r="E610" s="16" t="s">
        <v>63</v>
      </c>
      <c r="F610" s="33" t="s">
        <v>71</v>
      </c>
      <c r="G610" s="17" t="s">
        <v>835</v>
      </c>
      <c r="H610" s="29"/>
    </row>
    <row r="611" spans="1:8">
      <c r="A611" s="28">
        <v>45972</v>
      </c>
      <c r="B611" s="16" t="s">
        <v>75</v>
      </c>
      <c r="C611" s="16" t="s">
        <v>836</v>
      </c>
      <c r="D611" s="16" t="s">
        <v>837</v>
      </c>
      <c r="E611" s="16" t="s">
        <v>41</v>
      </c>
      <c r="F611" s="33" t="s">
        <v>71</v>
      </c>
      <c r="G611" s="17" t="s">
        <v>855</v>
      </c>
      <c r="H611" s="29"/>
    </row>
    <row r="612" spans="1:8">
      <c r="A612" s="28">
        <v>45972</v>
      </c>
      <c r="B612" s="16" t="s">
        <v>91</v>
      </c>
      <c r="C612" s="16" t="s">
        <v>827</v>
      </c>
      <c r="D612" s="16" t="s">
        <v>828</v>
      </c>
      <c r="E612" s="16" t="s">
        <v>63</v>
      </c>
      <c r="F612" s="33" t="s">
        <v>71</v>
      </c>
      <c r="G612" s="17" t="s">
        <v>856</v>
      </c>
      <c r="H612" s="29"/>
    </row>
    <row r="613" spans="1:8">
      <c r="A613" s="28">
        <v>45972</v>
      </c>
      <c r="B613" s="16" t="s">
        <v>91</v>
      </c>
      <c r="C613" s="16" t="s">
        <v>838</v>
      </c>
      <c r="D613" s="16" t="s">
        <v>839</v>
      </c>
      <c r="E613" s="16" t="s">
        <v>63</v>
      </c>
      <c r="F613" s="33" t="s">
        <v>77</v>
      </c>
      <c r="G613" s="17" t="s">
        <v>857</v>
      </c>
      <c r="H613" s="29"/>
    </row>
    <row r="614" spans="1:8">
      <c r="A614" s="28">
        <v>45973</v>
      </c>
      <c r="B614" s="16" t="s">
        <v>75</v>
      </c>
      <c r="C614" s="16" t="s">
        <v>15</v>
      </c>
      <c r="D614" s="16" t="s">
        <v>841</v>
      </c>
      <c r="E614" s="16" t="s">
        <v>40</v>
      </c>
      <c r="F614" s="33" t="s">
        <v>71</v>
      </c>
      <c r="G614" s="17" t="s">
        <v>858</v>
      </c>
      <c r="H614" s="29"/>
    </row>
    <row r="615" spans="1:8">
      <c r="A615" s="28">
        <v>45973</v>
      </c>
      <c r="B615" s="16" t="s">
        <v>197</v>
      </c>
      <c r="C615" s="16" t="s">
        <v>15</v>
      </c>
      <c r="D615" s="16" t="s">
        <v>492</v>
      </c>
      <c r="E615" s="16" t="s">
        <v>40</v>
      </c>
      <c r="F615" s="33" t="s">
        <v>71</v>
      </c>
      <c r="G615" s="17" t="s">
        <v>859</v>
      </c>
      <c r="H615" s="29"/>
    </row>
    <row r="616" spans="1:8">
      <c r="A616" s="28">
        <v>45973</v>
      </c>
      <c r="B616" s="16" t="s">
        <v>75</v>
      </c>
      <c r="C616" s="16" t="s">
        <v>15</v>
      </c>
      <c r="D616" s="16" t="s">
        <v>499</v>
      </c>
      <c r="E616" s="16" t="s">
        <v>40</v>
      </c>
      <c r="F616" s="33" t="s">
        <v>77</v>
      </c>
      <c r="G616" s="17" t="s">
        <v>860</v>
      </c>
      <c r="H616" s="29"/>
    </row>
    <row r="617" spans="1:8" ht="31.5">
      <c r="A617" s="28">
        <v>45973</v>
      </c>
      <c r="B617" s="16" t="s">
        <v>91</v>
      </c>
      <c r="C617" s="16" t="s">
        <v>775</v>
      </c>
      <c r="D617" s="16" t="s">
        <v>776</v>
      </c>
      <c r="E617" s="16" t="s">
        <v>40</v>
      </c>
      <c r="F617" s="33" t="s">
        <v>71</v>
      </c>
      <c r="G617" s="17" t="s">
        <v>861</v>
      </c>
      <c r="H617" s="29"/>
    </row>
    <row r="618" spans="1:8">
      <c r="A618" s="28">
        <v>45973</v>
      </c>
      <c r="B618" s="16" t="s">
        <v>91</v>
      </c>
      <c r="C618" s="16" t="s">
        <v>693</v>
      </c>
      <c r="D618" s="16" t="s">
        <v>467</v>
      </c>
      <c r="E618" s="16" t="s">
        <v>63</v>
      </c>
      <c r="F618" s="33" t="s">
        <v>64</v>
      </c>
      <c r="G618" s="17" t="s">
        <v>862</v>
      </c>
      <c r="H618" s="29"/>
    </row>
    <row r="619" spans="1:8">
      <c r="A619" s="28">
        <v>45973</v>
      </c>
      <c r="B619" s="16" t="s">
        <v>75</v>
      </c>
      <c r="C619" s="16" t="s">
        <v>15</v>
      </c>
      <c r="D619" s="16" t="s">
        <v>760</v>
      </c>
      <c r="E619" s="16" t="s">
        <v>63</v>
      </c>
      <c r="F619" s="33" t="s">
        <v>64</v>
      </c>
      <c r="G619" s="17" t="s">
        <v>862</v>
      </c>
      <c r="H619" s="29"/>
    </row>
    <row r="620" spans="1:8">
      <c r="A620" s="28">
        <v>45973</v>
      </c>
      <c r="B620" s="16" t="s">
        <v>197</v>
      </c>
      <c r="C620" s="16" t="s">
        <v>15</v>
      </c>
      <c r="D620" s="16" t="s">
        <v>752</v>
      </c>
      <c r="E620" s="16" t="s">
        <v>63</v>
      </c>
      <c r="F620" s="33" t="s">
        <v>71</v>
      </c>
      <c r="G620" s="17" t="s">
        <v>863</v>
      </c>
      <c r="H620" s="29"/>
    </row>
    <row r="621" spans="1:8">
      <c r="A621" s="28">
        <v>45973</v>
      </c>
      <c r="B621" s="16" t="s">
        <v>75</v>
      </c>
      <c r="C621" s="16" t="s">
        <v>42</v>
      </c>
      <c r="D621" s="16" t="s">
        <v>814</v>
      </c>
      <c r="E621" s="16" t="s">
        <v>63</v>
      </c>
      <c r="F621" s="33" t="s">
        <v>71</v>
      </c>
      <c r="G621" s="17" t="s">
        <v>864</v>
      </c>
      <c r="H621" s="29"/>
    </row>
    <row r="622" spans="1:8" ht="31.5">
      <c r="A622" s="28">
        <v>45974</v>
      </c>
      <c r="B622" s="16" t="s">
        <v>75</v>
      </c>
      <c r="C622" s="16" t="s">
        <v>15</v>
      </c>
      <c r="D622" s="16" t="s">
        <v>760</v>
      </c>
      <c r="E622" s="16" t="s">
        <v>40</v>
      </c>
      <c r="F622" s="33" t="s">
        <v>71</v>
      </c>
      <c r="G622" s="17" t="s">
        <v>865</v>
      </c>
      <c r="H622" s="29"/>
    </row>
    <row r="623" spans="1:8" ht="31.5">
      <c r="A623" s="28">
        <v>45974</v>
      </c>
      <c r="B623" s="16" t="s">
        <v>91</v>
      </c>
      <c r="C623" s="16" t="s">
        <v>693</v>
      </c>
      <c r="D623" s="16" t="s">
        <v>467</v>
      </c>
      <c r="E623" s="16" t="s">
        <v>40</v>
      </c>
      <c r="F623" s="33" t="s">
        <v>71</v>
      </c>
      <c r="G623" s="17" t="s">
        <v>866</v>
      </c>
      <c r="H623" s="29"/>
    </row>
    <row r="624" spans="1:8">
      <c r="A624" s="28">
        <v>45974</v>
      </c>
      <c r="B624" s="16" t="s">
        <v>75</v>
      </c>
      <c r="C624" s="16" t="s">
        <v>15</v>
      </c>
      <c r="D624" s="16" t="s">
        <v>848</v>
      </c>
      <c r="E624" s="16" t="s">
        <v>63</v>
      </c>
      <c r="F624" s="33" t="s">
        <v>69</v>
      </c>
      <c r="G624" s="17" t="s">
        <v>129</v>
      </c>
      <c r="H624" s="29"/>
    </row>
    <row r="625" spans="1:8">
      <c r="A625" s="28">
        <v>45974</v>
      </c>
      <c r="B625" s="16" t="s">
        <v>91</v>
      </c>
      <c r="C625" s="16" t="s">
        <v>842</v>
      </c>
      <c r="D625" s="16" t="s">
        <v>843</v>
      </c>
      <c r="E625" s="16" t="s">
        <v>63</v>
      </c>
      <c r="F625" s="33" t="s">
        <v>69</v>
      </c>
      <c r="G625" s="17" t="s">
        <v>873</v>
      </c>
      <c r="H625" s="29"/>
    </row>
    <row r="626" spans="1:8">
      <c r="A626" s="28">
        <v>45974</v>
      </c>
      <c r="B626" s="16" t="s">
        <v>91</v>
      </c>
      <c r="C626" s="16" t="s">
        <v>842</v>
      </c>
      <c r="D626" s="16" t="s">
        <v>844</v>
      </c>
      <c r="E626" s="16" t="s">
        <v>63</v>
      </c>
      <c r="F626" s="33" t="s">
        <v>69</v>
      </c>
      <c r="G626" s="17" t="s">
        <v>874</v>
      </c>
      <c r="H626" s="29"/>
    </row>
    <row r="627" spans="1:8">
      <c r="A627" s="28">
        <v>45974</v>
      </c>
      <c r="B627" s="16" t="s">
        <v>91</v>
      </c>
      <c r="C627" s="40" t="s">
        <v>845</v>
      </c>
      <c r="D627" s="16" t="s">
        <v>206</v>
      </c>
      <c r="E627" s="16" t="s">
        <v>63</v>
      </c>
      <c r="F627" s="33" t="s">
        <v>69</v>
      </c>
      <c r="G627" s="17" t="s">
        <v>846</v>
      </c>
      <c r="H627" s="29"/>
    </row>
    <row r="628" spans="1:8">
      <c r="A628" s="28">
        <v>45974</v>
      </c>
      <c r="B628" s="16" t="s">
        <v>75</v>
      </c>
      <c r="C628" s="16" t="s">
        <v>836</v>
      </c>
      <c r="D628" s="16" t="s">
        <v>850</v>
      </c>
      <c r="E628" s="16" t="s">
        <v>63</v>
      </c>
      <c r="F628" s="33" t="s">
        <v>71</v>
      </c>
      <c r="G628" s="17" t="s">
        <v>867</v>
      </c>
      <c r="H628" s="29"/>
    </row>
    <row r="629" spans="1:8">
      <c r="A629" s="28">
        <v>45974</v>
      </c>
      <c r="B629" s="16" t="s">
        <v>75</v>
      </c>
      <c r="C629" s="16" t="s">
        <v>42</v>
      </c>
      <c r="D629" s="16" t="s">
        <v>814</v>
      </c>
      <c r="E629" s="16" t="s">
        <v>63</v>
      </c>
      <c r="F629" s="33" t="s">
        <v>64</v>
      </c>
      <c r="G629" s="17" t="s">
        <v>868</v>
      </c>
      <c r="H629" s="29"/>
    </row>
    <row r="630" spans="1:8">
      <c r="A630" s="28">
        <v>45974</v>
      </c>
      <c r="B630" s="16" t="s">
        <v>75</v>
      </c>
      <c r="C630" s="16" t="s">
        <v>42</v>
      </c>
      <c r="D630" s="16" t="s">
        <v>847</v>
      </c>
      <c r="E630" s="16" t="s">
        <v>63</v>
      </c>
      <c r="F630" s="33" t="s">
        <v>64</v>
      </c>
      <c r="G630" s="17" t="s">
        <v>869</v>
      </c>
      <c r="H630" s="29"/>
    </row>
    <row r="631" spans="1:8">
      <c r="A631" s="28">
        <v>45974</v>
      </c>
      <c r="B631" s="16" t="s">
        <v>75</v>
      </c>
      <c r="C631" s="16" t="s">
        <v>42</v>
      </c>
      <c r="D631" s="16" t="s">
        <v>419</v>
      </c>
      <c r="E631" s="16" t="s">
        <v>63</v>
      </c>
      <c r="F631" s="33" t="s">
        <v>64</v>
      </c>
      <c r="G631" s="17" t="s">
        <v>807</v>
      </c>
      <c r="H631" s="29"/>
    </row>
    <row r="632" spans="1:8">
      <c r="A632" s="28">
        <v>45974</v>
      </c>
      <c r="B632" s="16" t="s">
        <v>75</v>
      </c>
      <c r="C632" s="16" t="s">
        <v>836</v>
      </c>
      <c r="D632" s="16" t="s">
        <v>849</v>
      </c>
      <c r="E632" s="16" t="s">
        <v>63</v>
      </c>
      <c r="F632" s="33" t="s">
        <v>69</v>
      </c>
      <c r="G632" s="17" t="s">
        <v>129</v>
      </c>
      <c r="H632" s="29"/>
    </row>
    <row r="633" spans="1:8">
      <c r="A633" s="28">
        <v>45974</v>
      </c>
      <c r="B633" s="16" t="s">
        <v>75</v>
      </c>
      <c r="C633" s="16" t="s">
        <v>15</v>
      </c>
      <c r="D633" s="16" t="s">
        <v>812</v>
      </c>
      <c r="E633" s="16" t="s">
        <v>63</v>
      </c>
      <c r="F633" s="33" t="s">
        <v>69</v>
      </c>
      <c r="G633" s="17" t="s">
        <v>851</v>
      </c>
      <c r="H633" s="29"/>
    </row>
    <row r="634" spans="1:8">
      <c r="A634" s="28">
        <v>45975</v>
      </c>
      <c r="B634" s="16" t="s">
        <v>91</v>
      </c>
      <c r="C634" s="16" t="s">
        <v>827</v>
      </c>
      <c r="D634" s="24" t="s">
        <v>829</v>
      </c>
      <c r="E634" s="16" t="s">
        <v>63</v>
      </c>
      <c r="F634" s="33" t="s">
        <v>69</v>
      </c>
      <c r="G634" s="17" t="s">
        <v>870</v>
      </c>
      <c r="H634" s="39"/>
    </row>
    <row r="635" spans="1:8">
      <c r="A635" s="28">
        <v>45975</v>
      </c>
      <c r="B635" s="16" t="s">
        <v>91</v>
      </c>
      <c r="C635" s="16" t="s">
        <v>832</v>
      </c>
      <c r="D635" s="24" t="s">
        <v>852</v>
      </c>
      <c r="E635" s="16" t="s">
        <v>63</v>
      </c>
      <c r="F635" s="33" t="s">
        <v>64</v>
      </c>
      <c r="G635" s="17" t="s">
        <v>871</v>
      </c>
      <c r="H635" s="39"/>
    </row>
    <row r="636" spans="1:8">
      <c r="A636" s="28">
        <v>45975</v>
      </c>
      <c r="B636" s="16" t="s">
        <v>76</v>
      </c>
      <c r="C636" s="16" t="s">
        <v>349</v>
      </c>
      <c r="D636" s="24" t="s">
        <v>853</v>
      </c>
      <c r="E636" s="16" t="s">
        <v>63</v>
      </c>
      <c r="F636" s="33" t="s">
        <v>69</v>
      </c>
      <c r="G636" s="25" t="s">
        <v>872</v>
      </c>
      <c r="H636" s="39"/>
    </row>
    <row r="637" spans="1:8">
      <c r="A637" s="28">
        <v>45975</v>
      </c>
      <c r="B637" s="16" t="s">
        <v>75</v>
      </c>
      <c r="C637" s="16" t="s">
        <v>15</v>
      </c>
      <c r="D637" s="16" t="s">
        <v>848</v>
      </c>
      <c r="E637" s="16" t="s">
        <v>63</v>
      </c>
      <c r="F637" s="33" t="s">
        <v>69</v>
      </c>
      <c r="G637" s="25" t="s">
        <v>129</v>
      </c>
      <c r="H637" s="39"/>
    </row>
    <row r="638" spans="1:8" ht="63">
      <c r="A638" s="28">
        <v>45975</v>
      </c>
      <c r="B638" s="16" t="s">
        <v>75</v>
      </c>
      <c r="C638" s="16" t="s">
        <v>42</v>
      </c>
      <c r="D638" s="24" t="s">
        <v>854</v>
      </c>
      <c r="E638" s="16" t="s">
        <v>40</v>
      </c>
      <c r="F638" s="33" t="s">
        <v>71</v>
      </c>
      <c r="G638" s="25" t="s">
        <v>876</v>
      </c>
      <c r="H638" s="39"/>
    </row>
    <row r="639" spans="1:8" ht="16.5" thickBot="1">
      <c r="A639" s="31"/>
      <c r="B639" s="20"/>
      <c r="C639" s="20"/>
      <c r="D639" s="20"/>
      <c r="E639" s="20"/>
      <c r="F639" s="20"/>
      <c r="G639" s="20"/>
      <c r="H639" s="30"/>
    </row>
    <row r="640" spans="1:8" ht="16.5" thickBot="1"/>
    <row r="641" spans="1:8">
      <c r="A641" s="3" t="s">
        <v>70</v>
      </c>
      <c r="B641" s="4" t="s">
        <v>72</v>
      </c>
      <c r="C641" s="4" t="s">
        <v>16</v>
      </c>
      <c r="D641" s="34" t="s">
        <v>155</v>
      </c>
      <c r="E641" s="9" t="s">
        <v>156</v>
      </c>
      <c r="F641" s="10" t="s">
        <v>157</v>
      </c>
    </row>
    <row r="642" spans="1:8">
      <c r="A642" s="122" t="s">
        <v>63</v>
      </c>
      <c r="B642" s="16" t="s">
        <v>68</v>
      </c>
      <c r="C642" s="16">
        <v>10</v>
      </c>
      <c r="D642" s="16">
        <v>10</v>
      </c>
      <c r="E642" s="123">
        <f>D642+D644+D646</f>
        <v>13</v>
      </c>
      <c r="F642" s="124">
        <f>E642/12</f>
        <v>1.0833333333333333</v>
      </c>
    </row>
    <row r="643" spans="1:8">
      <c r="A643" s="122"/>
      <c r="B643" s="125" t="s">
        <v>65</v>
      </c>
      <c r="C643" s="125">
        <v>9</v>
      </c>
      <c r="D643" s="35" t="s">
        <v>158</v>
      </c>
      <c r="E643" s="123"/>
      <c r="F643" s="124"/>
    </row>
    <row r="644" spans="1:8">
      <c r="A644" s="122"/>
      <c r="B644" s="125"/>
      <c r="C644" s="125"/>
      <c r="D644" s="16">
        <f>C643/3</f>
        <v>3</v>
      </c>
      <c r="E644" s="123"/>
      <c r="F644" s="124"/>
    </row>
    <row r="645" spans="1:8">
      <c r="A645" s="122"/>
      <c r="B645" s="125" t="s">
        <v>69</v>
      </c>
      <c r="C645" s="125">
        <v>18</v>
      </c>
      <c r="D645" s="35" t="s">
        <v>159</v>
      </c>
      <c r="E645" s="123"/>
      <c r="F645" s="124"/>
    </row>
    <row r="646" spans="1:8">
      <c r="A646" s="122"/>
      <c r="B646" s="125"/>
      <c r="C646" s="125"/>
      <c r="D646" s="16">
        <v>0</v>
      </c>
      <c r="E646" s="123"/>
      <c r="F646" s="124"/>
    </row>
    <row r="647" spans="1:8">
      <c r="A647" s="36" t="s">
        <v>70</v>
      </c>
      <c r="B647" s="37" t="s">
        <v>72</v>
      </c>
      <c r="C647" s="37"/>
      <c r="D647" s="126" t="s">
        <v>160</v>
      </c>
      <c r="E647" s="126"/>
      <c r="F647" s="127"/>
    </row>
    <row r="648" spans="1:8">
      <c r="A648" s="122" t="s">
        <v>62</v>
      </c>
      <c r="B648" s="16" t="s">
        <v>68</v>
      </c>
      <c r="C648" s="16">
        <v>6</v>
      </c>
      <c r="D648" s="129">
        <f>C648/9</f>
        <v>0.66666666666666663</v>
      </c>
      <c r="E648" s="129"/>
      <c r="F648" s="124"/>
    </row>
    <row r="649" spans="1:8" ht="16.5" thickBot="1">
      <c r="A649" s="128"/>
      <c r="B649" s="20" t="s">
        <v>69</v>
      </c>
      <c r="C649" s="20">
        <v>1</v>
      </c>
      <c r="D649" s="130"/>
      <c r="E649" s="130"/>
      <c r="F649" s="131"/>
    </row>
    <row r="651" spans="1:8" ht="16.5" thickBot="1">
      <c r="A651" s="14" t="s">
        <v>875</v>
      </c>
    </row>
    <row r="652" spans="1:8">
      <c r="A652" s="3" t="s">
        <v>58</v>
      </c>
      <c r="B652" s="4" t="s">
        <v>67</v>
      </c>
      <c r="C652" s="4" t="s">
        <v>3</v>
      </c>
      <c r="D652" s="4" t="s">
        <v>57</v>
      </c>
      <c r="E652" s="4" t="s">
        <v>59</v>
      </c>
      <c r="F652" s="4" t="s">
        <v>61</v>
      </c>
      <c r="G652" s="4" t="s">
        <v>60</v>
      </c>
      <c r="H652" s="5" t="s">
        <v>66</v>
      </c>
    </row>
    <row r="653" spans="1:8">
      <c r="A653" s="28">
        <v>45978</v>
      </c>
      <c r="B653" s="16" t="s">
        <v>91</v>
      </c>
      <c r="C653" s="16" t="s">
        <v>827</v>
      </c>
      <c r="D653" s="16" t="s">
        <v>829</v>
      </c>
      <c r="E653" s="16" t="s">
        <v>41</v>
      </c>
      <c r="F653" s="33" t="s">
        <v>77</v>
      </c>
      <c r="G653" s="17" t="s">
        <v>899</v>
      </c>
      <c r="H653" s="29"/>
    </row>
    <row r="654" spans="1:8">
      <c r="A654" s="28">
        <v>45978</v>
      </c>
      <c r="B654" s="16" t="s">
        <v>91</v>
      </c>
      <c r="C654" s="16" t="s">
        <v>883</v>
      </c>
      <c r="D654" s="16" t="s">
        <v>884</v>
      </c>
      <c r="E654" s="16" t="s">
        <v>41</v>
      </c>
      <c r="F654" s="33" t="s">
        <v>71</v>
      </c>
      <c r="G654" s="17" t="s">
        <v>900</v>
      </c>
      <c r="H654" s="29"/>
    </row>
    <row r="655" spans="1:8">
      <c r="A655" s="28">
        <v>45978</v>
      </c>
      <c r="B655" s="16" t="s">
        <v>91</v>
      </c>
      <c r="C655" s="16" t="s">
        <v>832</v>
      </c>
      <c r="D655" s="16" t="s">
        <v>885</v>
      </c>
      <c r="E655" s="16" t="s">
        <v>41</v>
      </c>
      <c r="F655" s="33" t="s">
        <v>64</v>
      </c>
      <c r="G655" s="17" t="s">
        <v>901</v>
      </c>
      <c r="H655" s="29"/>
    </row>
    <row r="656" spans="1:8">
      <c r="A656" s="28">
        <v>45978</v>
      </c>
      <c r="B656" s="16" t="s">
        <v>76</v>
      </c>
      <c r="C656" s="16" t="s">
        <v>886</v>
      </c>
      <c r="D656" s="16" t="s">
        <v>887</v>
      </c>
      <c r="E656" s="16" t="s">
        <v>40</v>
      </c>
      <c r="F656" s="33" t="s">
        <v>77</v>
      </c>
      <c r="G656" s="17" t="s">
        <v>902</v>
      </c>
      <c r="H656" s="29"/>
    </row>
    <row r="657" spans="1:8">
      <c r="A657" s="28">
        <v>45979</v>
      </c>
      <c r="B657" s="16" t="s">
        <v>76</v>
      </c>
      <c r="C657" s="16" t="s">
        <v>881</v>
      </c>
      <c r="D657" s="16" t="s">
        <v>888</v>
      </c>
      <c r="E657" s="16" t="s">
        <v>40</v>
      </c>
      <c r="F657" s="33" t="s">
        <v>77</v>
      </c>
      <c r="G657" s="17" t="s">
        <v>902</v>
      </c>
      <c r="H657" s="29"/>
    </row>
    <row r="658" spans="1:8">
      <c r="A658" s="28">
        <v>45979</v>
      </c>
      <c r="B658" s="16" t="s">
        <v>197</v>
      </c>
      <c r="C658" s="16" t="s">
        <v>295</v>
      </c>
      <c r="D658" s="16" t="s">
        <v>765</v>
      </c>
      <c r="E658" s="16" t="s">
        <v>41</v>
      </c>
      <c r="F658" s="33" t="s">
        <v>77</v>
      </c>
      <c r="G658" s="17" t="s">
        <v>903</v>
      </c>
      <c r="H658" s="29"/>
    </row>
    <row r="659" spans="1:8" ht="126">
      <c r="A659" s="28">
        <v>45979</v>
      </c>
      <c r="B659" s="16" t="s">
        <v>197</v>
      </c>
      <c r="C659" s="16" t="s">
        <v>15</v>
      </c>
      <c r="D659" s="16" t="s">
        <v>492</v>
      </c>
      <c r="E659" s="16" t="s">
        <v>41</v>
      </c>
      <c r="F659" s="33" t="s">
        <v>71</v>
      </c>
      <c r="G659" s="17" t="s">
        <v>904</v>
      </c>
      <c r="H659" s="29"/>
    </row>
    <row r="660" spans="1:8">
      <c r="A660" s="28">
        <v>45979</v>
      </c>
      <c r="B660" s="16" t="s">
        <v>75</v>
      </c>
      <c r="C660" s="16" t="s">
        <v>411</v>
      </c>
      <c r="D660" s="16" t="s">
        <v>456</v>
      </c>
      <c r="E660" s="16" t="s">
        <v>41</v>
      </c>
      <c r="F660" s="33" t="s">
        <v>71</v>
      </c>
      <c r="G660" s="17" t="s">
        <v>905</v>
      </c>
      <c r="H660" s="29"/>
    </row>
    <row r="661" spans="1:8" ht="63">
      <c r="A661" s="28">
        <v>45979</v>
      </c>
      <c r="B661" s="16" t="s">
        <v>91</v>
      </c>
      <c r="C661" s="16" t="s">
        <v>832</v>
      </c>
      <c r="D661" s="16" t="s">
        <v>885</v>
      </c>
      <c r="E661" s="16" t="s">
        <v>40</v>
      </c>
      <c r="F661" s="33" t="s">
        <v>71</v>
      </c>
      <c r="G661" s="17" t="s">
        <v>911</v>
      </c>
      <c r="H661" s="29"/>
    </row>
    <row r="662" spans="1:8" ht="31.5">
      <c r="A662" s="28">
        <v>45979</v>
      </c>
      <c r="B662" s="16" t="s">
        <v>91</v>
      </c>
      <c r="C662" s="16" t="s">
        <v>889</v>
      </c>
      <c r="D662" s="16" t="s">
        <v>890</v>
      </c>
      <c r="E662" s="16" t="s">
        <v>40</v>
      </c>
      <c r="F662" s="33" t="s">
        <v>71</v>
      </c>
      <c r="G662" s="17" t="s">
        <v>912</v>
      </c>
      <c r="H662" s="29"/>
    </row>
    <row r="663" spans="1:8" ht="47.25">
      <c r="A663" s="28">
        <v>45980</v>
      </c>
      <c r="B663" s="16" t="s">
        <v>75</v>
      </c>
      <c r="C663" s="16" t="s">
        <v>295</v>
      </c>
      <c r="D663" s="16" t="s">
        <v>891</v>
      </c>
      <c r="E663" s="16" t="s">
        <v>40</v>
      </c>
      <c r="F663" s="33" t="s">
        <v>71</v>
      </c>
      <c r="G663" s="17" t="s">
        <v>913</v>
      </c>
      <c r="H663" s="29"/>
    </row>
    <row r="664" spans="1:8">
      <c r="A664" s="28">
        <v>45980</v>
      </c>
      <c r="B664" s="16" t="s">
        <v>75</v>
      </c>
      <c r="C664" s="16" t="s">
        <v>15</v>
      </c>
      <c r="D664" s="16" t="s">
        <v>134</v>
      </c>
      <c r="E664" s="16" t="s">
        <v>41</v>
      </c>
      <c r="F664" s="33" t="s">
        <v>71</v>
      </c>
      <c r="G664" s="17" t="s">
        <v>906</v>
      </c>
      <c r="H664" s="29"/>
    </row>
    <row r="665" spans="1:8" ht="47.25">
      <c r="A665" s="28">
        <v>45980</v>
      </c>
      <c r="B665" s="16" t="s">
        <v>197</v>
      </c>
      <c r="C665" s="16" t="s">
        <v>15</v>
      </c>
      <c r="D665" s="16" t="s">
        <v>892</v>
      </c>
      <c r="E665" s="16" t="s">
        <v>41</v>
      </c>
      <c r="F665" s="33" t="s">
        <v>71</v>
      </c>
      <c r="G665" s="17" t="s">
        <v>907</v>
      </c>
      <c r="H665" s="29"/>
    </row>
    <row r="666" spans="1:8">
      <c r="A666" s="28">
        <v>45980</v>
      </c>
      <c r="B666" s="16" t="s">
        <v>91</v>
      </c>
      <c r="C666" s="16" t="s">
        <v>693</v>
      </c>
      <c r="D666" s="16" t="s">
        <v>893</v>
      </c>
      <c r="E666" s="16" t="s">
        <v>41</v>
      </c>
      <c r="F666" s="33" t="s">
        <v>77</v>
      </c>
      <c r="G666" s="17" t="s">
        <v>129</v>
      </c>
      <c r="H666" s="29"/>
    </row>
    <row r="667" spans="1:8">
      <c r="A667" s="28">
        <v>45980</v>
      </c>
      <c r="B667" s="16" t="s">
        <v>91</v>
      </c>
      <c r="C667" s="16" t="s">
        <v>111</v>
      </c>
      <c r="D667" s="16" t="s">
        <v>754</v>
      </c>
      <c r="E667" s="16" t="s">
        <v>41</v>
      </c>
      <c r="F667" s="33" t="s">
        <v>77</v>
      </c>
      <c r="G667" s="17" t="s">
        <v>129</v>
      </c>
      <c r="H667" s="29"/>
    </row>
    <row r="668" spans="1:8" ht="31.5">
      <c r="A668" s="28">
        <v>45980</v>
      </c>
      <c r="B668" s="16" t="s">
        <v>75</v>
      </c>
      <c r="C668" s="16" t="s">
        <v>15</v>
      </c>
      <c r="D668" s="16" t="s">
        <v>848</v>
      </c>
      <c r="E668" s="16" t="s">
        <v>41</v>
      </c>
      <c r="F668" s="33" t="s">
        <v>71</v>
      </c>
      <c r="G668" s="17" t="s">
        <v>923</v>
      </c>
      <c r="H668" s="29"/>
    </row>
    <row r="669" spans="1:8">
      <c r="A669" s="28">
        <v>45980</v>
      </c>
      <c r="B669" s="16" t="s">
        <v>91</v>
      </c>
      <c r="C669" s="16" t="s">
        <v>780</v>
      </c>
      <c r="D669" s="16" t="s">
        <v>894</v>
      </c>
      <c r="E669" s="16" t="s">
        <v>40</v>
      </c>
      <c r="F669" s="33" t="s">
        <v>77</v>
      </c>
      <c r="G669" s="17" t="s">
        <v>915</v>
      </c>
      <c r="H669" s="29"/>
    </row>
    <row r="670" spans="1:8">
      <c r="A670" s="28">
        <v>45981</v>
      </c>
      <c r="B670" s="16" t="s">
        <v>91</v>
      </c>
      <c r="C670" s="16" t="s">
        <v>111</v>
      </c>
      <c r="D670" s="16" t="s">
        <v>754</v>
      </c>
      <c r="E670" s="16" t="s">
        <v>41</v>
      </c>
      <c r="F670" s="33" t="s">
        <v>77</v>
      </c>
      <c r="G670" s="17" t="s">
        <v>129</v>
      </c>
      <c r="H670" s="29"/>
    </row>
    <row r="671" spans="1:8">
      <c r="A671" s="28">
        <v>45981</v>
      </c>
      <c r="B671" s="16" t="s">
        <v>75</v>
      </c>
      <c r="C671" s="16" t="s">
        <v>14</v>
      </c>
      <c r="D671" s="16" t="s">
        <v>142</v>
      </c>
      <c r="E671" s="16" t="s">
        <v>41</v>
      </c>
      <c r="F671" s="33" t="s">
        <v>77</v>
      </c>
      <c r="G671" s="17" t="s">
        <v>129</v>
      </c>
      <c r="H671" s="29"/>
    </row>
    <row r="672" spans="1:8" ht="31.5">
      <c r="A672" s="28">
        <v>45981</v>
      </c>
      <c r="B672" s="16" t="s">
        <v>91</v>
      </c>
      <c r="C672" s="16" t="s">
        <v>775</v>
      </c>
      <c r="D672" s="16" t="s">
        <v>670</v>
      </c>
      <c r="E672" s="16" t="s">
        <v>41</v>
      </c>
      <c r="F672" s="33" t="s">
        <v>77</v>
      </c>
      <c r="G672" s="17" t="s">
        <v>916</v>
      </c>
      <c r="H672" s="29"/>
    </row>
    <row r="673" spans="1:8">
      <c r="A673" s="28">
        <v>45981</v>
      </c>
      <c r="B673" s="16" t="s">
        <v>91</v>
      </c>
      <c r="C673" s="16" t="s">
        <v>775</v>
      </c>
      <c r="D673" s="16" t="s">
        <v>685</v>
      </c>
      <c r="E673" s="16" t="s">
        <v>41</v>
      </c>
      <c r="F673" s="33" t="s">
        <v>77</v>
      </c>
      <c r="G673" s="17" t="s">
        <v>917</v>
      </c>
      <c r="H673" s="29"/>
    </row>
    <row r="674" spans="1:8">
      <c r="A674" s="28">
        <v>45981</v>
      </c>
      <c r="B674" s="16" t="s">
        <v>75</v>
      </c>
      <c r="C674" s="16" t="s">
        <v>42</v>
      </c>
      <c r="D674" s="16" t="s">
        <v>814</v>
      </c>
      <c r="E674" s="16" t="s">
        <v>41</v>
      </c>
      <c r="F674" s="33" t="s">
        <v>77</v>
      </c>
      <c r="G674" s="17" t="s">
        <v>919</v>
      </c>
      <c r="H674" s="29"/>
    </row>
    <row r="675" spans="1:8">
      <c r="A675" s="28">
        <v>45981</v>
      </c>
      <c r="B675" s="16" t="s">
        <v>91</v>
      </c>
      <c r="C675" s="16" t="s">
        <v>344</v>
      </c>
      <c r="D675" s="16" t="s">
        <v>686</v>
      </c>
      <c r="E675" s="16" t="s">
        <v>41</v>
      </c>
      <c r="F675" s="33" t="s">
        <v>77</v>
      </c>
      <c r="G675" s="17" t="s">
        <v>129</v>
      </c>
      <c r="H675" s="29"/>
    </row>
    <row r="676" spans="1:8">
      <c r="A676" s="28">
        <v>45981</v>
      </c>
      <c r="B676" s="16" t="s">
        <v>91</v>
      </c>
      <c r="C676" s="16" t="s">
        <v>693</v>
      </c>
      <c r="D676" s="16" t="s">
        <v>893</v>
      </c>
      <c r="E676" s="16" t="s">
        <v>41</v>
      </c>
      <c r="F676" s="33" t="s">
        <v>77</v>
      </c>
      <c r="G676" s="17" t="s">
        <v>129</v>
      </c>
      <c r="H676" s="29"/>
    </row>
    <row r="677" spans="1:8">
      <c r="A677" s="28">
        <v>45981</v>
      </c>
      <c r="B677" s="16" t="s">
        <v>75</v>
      </c>
      <c r="C677" s="16" t="s">
        <v>74</v>
      </c>
      <c r="D677" s="16" t="s">
        <v>422</v>
      </c>
      <c r="E677" s="16" t="s">
        <v>40</v>
      </c>
      <c r="F677" s="33" t="s">
        <v>77</v>
      </c>
      <c r="G677" s="17" t="s">
        <v>914</v>
      </c>
      <c r="H677" s="29"/>
    </row>
    <row r="678" spans="1:8" ht="47.25">
      <c r="A678" s="28">
        <v>45981</v>
      </c>
      <c r="B678" s="16" t="s">
        <v>75</v>
      </c>
      <c r="C678" s="16" t="s">
        <v>15</v>
      </c>
      <c r="D678" s="16" t="s">
        <v>895</v>
      </c>
      <c r="E678" s="16" t="s">
        <v>40</v>
      </c>
      <c r="F678" s="33" t="s">
        <v>71</v>
      </c>
      <c r="G678" s="17" t="s">
        <v>918</v>
      </c>
      <c r="H678" s="29"/>
    </row>
    <row r="679" spans="1:8" ht="31.5">
      <c r="A679" s="28">
        <v>45982</v>
      </c>
      <c r="B679" s="16" t="s">
        <v>75</v>
      </c>
      <c r="C679" s="16" t="s">
        <v>15</v>
      </c>
      <c r="D679" s="16" t="s">
        <v>734</v>
      </c>
      <c r="E679" s="16" t="s">
        <v>41</v>
      </c>
      <c r="F679" s="33" t="s">
        <v>77</v>
      </c>
      <c r="G679" s="17" t="s">
        <v>920</v>
      </c>
      <c r="H679" s="29"/>
    </row>
    <row r="680" spans="1:8" ht="47.25">
      <c r="A680" s="28">
        <v>45982</v>
      </c>
      <c r="B680" s="16" t="s">
        <v>75</v>
      </c>
      <c r="C680" s="16" t="s">
        <v>15</v>
      </c>
      <c r="D680" s="16" t="s">
        <v>492</v>
      </c>
      <c r="E680" s="16" t="s">
        <v>41</v>
      </c>
      <c r="F680" s="33" t="s">
        <v>71</v>
      </c>
      <c r="G680" s="17" t="s">
        <v>921</v>
      </c>
      <c r="H680" s="29"/>
    </row>
    <row r="681" spans="1:8">
      <c r="A681" s="28">
        <v>45982</v>
      </c>
      <c r="B681" s="16" t="s">
        <v>75</v>
      </c>
      <c r="C681" s="16" t="s">
        <v>15</v>
      </c>
      <c r="D681" s="16" t="s">
        <v>848</v>
      </c>
      <c r="E681" s="16" t="s">
        <v>41</v>
      </c>
      <c r="F681" s="33" t="s">
        <v>64</v>
      </c>
      <c r="G681" s="17" t="s">
        <v>922</v>
      </c>
      <c r="H681" s="29"/>
    </row>
    <row r="682" spans="1:8">
      <c r="A682" s="28">
        <v>45982</v>
      </c>
      <c r="B682" s="16" t="s">
        <v>75</v>
      </c>
      <c r="C682" s="16" t="s">
        <v>15</v>
      </c>
      <c r="D682" s="16" t="s">
        <v>560</v>
      </c>
      <c r="E682" s="16" t="s">
        <v>41</v>
      </c>
      <c r="F682" s="33" t="s">
        <v>64</v>
      </c>
      <c r="G682" s="17" t="s">
        <v>926</v>
      </c>
      <c r="H682" s="29"/>
    </row>
    <row r="683" spans="1:8">
      <c r="A683" s="28">
        <v>45982</v>
      </c>
      <c r="B683" s="16" t="s">
        <v>91</v>
      </c>
      <c r="C683" s="16" t="s">
        <v>693</v>
      </c>
      <c r="D683" s="16" t="s">
        <v>757</v>
      </c>
      <c r="E683" s="16" t="s">
        <v>41</v>
      </c>
      <c r="F683" s="33" t="s">
        <v>77</v>
      </c>
      <c r="G683" s="17" t="s">
        <v>924</v>
      </c>
      <c r="H683" s="29"/>
    </row>
    <row r="684" spans="1:8">
      <c r="A684" s="28">
        <v>45982</v>
      </c>
      <c r="B684" s="16" t="s">
        <v>91</v>
      </c>
      <c r="C684" s="16" t="s">
        <v>693</v>
      </c>
      <c r="D684" s="16" t="s">
        <v>893</v>
      </c>
      <c r="E684" s="16" t="s">
        <v>41</v>
      </c>
      <c r="F684" s="33" t="s">
        <v>77</v>
      </c>
      <c r="G684" s="17" t="s">
        <v>129</v>
      </c>
      <c r="H684" s="29"/>
    </row>
    <row r="685" spans="1:8" ht="31.5">
      <c r="A685" s="28">
        <v>45982</v>
      </c>
      <c r="B685" s="16" t="s">
        <v>91</v>
      </c>
      <c r="C685" s="16" t="s">
        <v>693</v>
      </c>
      <c r="D685" s="16" t="s">
        <v>467</v>
      </c>
      <c r="E685" s="16" t="s">
        <v>41</v>
      </c>
      <c r="F685" s="33" t="s">
        <v>71</v>
      </c>
      <c r="G685" s="17" t="s">
        <v>928</v>
      </c>
      <c r="H685" s="29"/>
    </row>
    <row r="686" spans="1:8">
      <c r="A686" s="28">
        <v>45982</v>
      </c>
      <c r="B686" s="16" t="s">
        <v>75</v>
      </c>
      <c r="C686" s="40" t="s">
        <v>25</v>
      </c>
      <c r="D686" s="16" t="s">
        <v>497</v>
      </c>
      <c r="E686" s="16" t="s">
        <v>41</v>
      </c>
      <c r="F686" s="33" t="s">
        <v>77</v>
      </c>
      <c r="G686" s="17" t="s">
        <v>129</v>
      </c>
      <c r="H686" s="29"/>
    </row>
    <row r="687" spans="1:8">
      <c r="A687" s="28">
        <v>45982</v>
      </c>
      <c r="B687" s="16" t="s">
        <v>75</v>
      </c>
      <c r="C687" s="16" t="s">
        <v>25</v>
      </c>
      <c r="D687" s="16" t="s">
        <v>896</v>
      </c>
      <c r="E687" s="16" t="s">
        <v>41</v>
      </c>
      <c r="F687" s="33" t="s">
        <v>77</v>
      </c>
      <c r="G687" s="17" t="s">
        <v>129</v>
      </c>
      <c r="H687" s="29"/>
    </row>
    <row r="688" spans="1:8" ht="31.5">
      <c r="A688" s="28">
        <v>45982</v>
      </c>
      <c r="B688" s="16" t="s">
        <v>75</v>
      </c>
      <c r="C688" s="16" t="s">
        <v>15</v>
      </c>
      <c r="D688" s="16" t="s">
        <v>897</v>
      </c>
      <c r="E688" s="16" t="s">
        <v>41</v>
      </c>
      <c r="F688" s="33" t="s">
        <v>64</v>
      </c>
      <c r="G688" s="17" t="s">
        <v>927</v>
      </c>
      <c r="H688" s="29"/>
    </row>
    <row r="689" spans="1:8">
      <c r="A689" s="28">
        <v>45982</v>
      </c>
      <c r="B689" s="16" t="s">
        <v>75</v>
      </c>
      <c r="C689" s="16" t="s">
        <v>15</v>
      </c>
      <c r="D689" s="16" t="s">
        <v>756</v>
      </c>
      <c r="E689" s="16" t="s">
        <v>41</v>
      </c>
      <c r="F689" s="33" t="s">
        <v>77</v>
      </c>
      <c r="G689" s="17" t="s">
        <v>129</v>
      </c>
      <c r="H689" s="29"/>
    </row>
    <row r="690" spans="1:8">
      <c r="A690" s="28">
        <v>45982</v>
      </c>
      <c r="B690" s="16" t="s">
        <v>75</v>
      </c>
      <c r="C690" s="16" t="s">
        <v>15</v>
      </c>
      <c r="D690" s="16" t="s">
        <v>537</v>
      </c>
      <c r="E690" s="16" t="s">
        <v>41</v>
      </c>
      <c r="F690" s="33" t="s">
        <v>77</v>
      </c>
      <c r="G690" s="17" t="s">
        <v>129</v>
      </c>
      <c r="H690" s="29"/>
    </row>
    <row r="691" spans="1:8" ht="31.5">
      <c r="A691" s="28">
        <v>45982</v>
      </c>
      <c r="B691" s="16" t="s">
        <v>91</v>
      </c>
      <c r="C691" s="16" t="s">
        <v>759</v>
      </c>
      <c r="D691" s="16" t="s">
        <v>898</v>
      </c>
      <c r="E691" s="16" t="s">
        <v>41</v>
      </c>
      <c r="F691" s="33" t="s">
        <v>71</v>
      </c>
      <c r="G691" s="17" t="s">
        <v>925</v>
      </c>
      <c r="H691" s="29"/>
    </row>
    <row r="692" spans="1:8" ht="47.25">
      <c r="A692" s="28">
        <v>45982</v>
      </c>
      <c r="B692" s="16" t="s">
        <v>75</v>
      </c>
      <c r="C692" s="16" t="s">
        <v>411</v>
      </c>
      <c r="D692" s="16" t="s">
        <v>468</v>
      </c>
      <c r="E692" s="16" t="s">
        <v>41</v>
      </c>
      <c r="F692" s="33" t="s">
        <v>71</v>
      </c>
      <c r="G692" s="17" t="s">
        <v>931</v>
      </c>
      <c r="H692" s="29"/>
    </row>
    <row r="693" spans="1:8" ht="16.5" thickBot="1">
      <c r="A693" s="31"/>
      <c r="B693" s="20"/>
      <c r="C693" s="20"/>
      <c r="D693" s="20"/>
      <c r="E693" s="20"/>
      <c r="F693" s="20"/>
      <c r="G693" s="20"/>
      <c r="H693" s="30"/>
    </row>
    <row r="694" spans="1:8" ht="16.5" thickBot="1"/>
    <row r="695" spans="1:8">
      <c r="A695" s="3" t="s">
        <v>70</v>
      </c>
      <c r="B695" s="4" t="s">
        <v>72</v>
      </c>
      <c r="C695" s="4" t="s">
        <v>16</v>
      </c>
      <c r="D695" s="34" t="s">
        <v>155</v>
      </c>
      <c r="E695" s="9" t="s">
        <v>156</v>
      </c>
      <c r="F695" s="10" t="s">
        <v>157</v>
      </c>
    </row>
    <row r="696" spans="1:8">
      <c r="A696" s="122" t="s">
        <v>63</v>
      </c>
      <c r="B696" s="16" t="s">
        <v>68</v>
      </c>
      <c r="C696" s="16">
        <v>10</v>
      </c>
      <c r="D696" s="16">
        <v>10</v>
      </c>
      <c r="E696" s="123">
        <f>D696+D698+D700</f>
        <v>11.333333333333334</v>
      </c>
      <c r="F696" s="124">
        <f>E696/12</f>
        <v>0.94444444444444453</v>
      </c>
    </row>
    <row r="697" spans="1:8">
      <c r="A697" s="122"/>
      <c r="B697" s="125" t="s">
        <v>65</v>
      </c>
      <c r="C697" s="125">
        <v>4</v>
      </c>
      <c r="D697" s="35" t="s">
        <v>158</v>
      </c>
      <c r="E697" s="123"/>
      <c r="F697" s="124"/>
    </row>
    <row r="698" spans="1:8">
      <c r="A698" s="122"/>
      <c r="B698" s="125"/>
      <c r="C698" s="125"/>
      <c r="D698" s="16">
        <f>C697/3</f>
        <v>1.3333333333333333</v>
      </c>
      <c r="E698" s="123"/>
      <c r="F698" s="124"/>
    </row>
    <row r="699" spans="1:8">
      <c r="A699" s="122"/>
      <c r="B699" s="125" t="s">
        <v>69</v>
      </c>
      <c r="C699" s="125">
        <v>18</v>
      </c>
      <c r="D699" s="35" t="s">
        <v>159</v>
      </c>
      <c r="E699" s="123"/>
      <c r="F699" s="124"/>
    </row>
    <row r="700" spans="1:8">
      <c r="A700" s="122"/>
      <c r="B700" s="125"/>
      <c r="C700" s="125"/>
      <c r="D700" s="16">
        <v>0</v>
      </c>
      <c r="E700" s="123"/>
      <c r="F700" s="124"/>
    </row>
    <row r="701" spans="1:8">
      <c r="A701" s="36" t="s">
        <v>70</v>
      </c>
      <c r="B701" s="37" t="s">
        <v>72</v>
      </c>
      <c r="C701" s="37"/>
      <c r="D701" s="126" t="s">
        <v>160</v>
      </c>
      <c r="E701" s="126"/>
      <c r="F701" s="127"/>
    </row>
    <row r="702" spans="1:8">
      <c r="A702" s="122" t="s">
        <v>62</v>
      </c>
      <c r="B702" s="16" t="s">
        <v>68</v>
      </c>
      <c r="C702" s="16">
        <v>4</v>
      </c>
      <c r="D702" s="129">
        <f>C702/9</f>
        <v>0.44444444444444442</v>
      </c>
      <c r="E702" s="129"/>
      <c r="F702" s="124"/>
    </row>
    <row r="703" spans="1:8" ht="16.5" thickBot="1">
      <c r="A703" s="128"/>
      <c r="B703" s="20" t="s">
        <v>69</v>
      </c>
      <c r="C703" s="20">
        <v>4</v>
      </c>
      <c r="D703" s="130"/>
      <c r="E703" s="130"/>
      <c r="F703" s="131"/>
    </row>
    <row r="705" spans="1:8" ht="16.5" thickBot="1">
      <c r="A705" s="14" t="s">
        <v>882</v>
      </c>
    </row>
    <row r="706" spans="1:8">
      <c r="A706" s="3" t="s">
        <v>58</v>
      </c>
      <c r="B706" s="4" t="s">
        <v>67</v>
      </c>
      <c r="C706" s="4" t="s">
        <v>3</v>
      </c>
      <c r="D706" s="4" t="s">
        <v>57</v>
      </c>
      <c r="E706" s="4" t="s">
        <v>59</v>
      </c>
      <c r="F706" s="4" t="s">
        <v>61</v>
      </c>
      <c r="G706" s="4" t="s">
        <v>60</v>
      </c>
      <c r="H706" s="5" t="s">
        <v>66</v>
      </c>
    </row>
    <row r="707" spans="1:8">
      <c r="A707" s="28">
        <v>45985</v>
      </c>
      <c r="B707" s="16" t="s">
        <v>75</v>
      </c>
      <c r="C707" s="16" t="s">
        <v>15</v>
      </c>
      <c r="D707" s="16" t="s">
        <v>756</v>
      </c>
      <c r="E707" s="16" t="s">
        <v>41</v>
      </c>
      <c r="F707" s="33" t="s">
        <v>64</v>
      </c>
      <c r="G707" s="17" t="s">
        <v>944</v>
      </c>
      <c r="H707" s="29"/>
    </row>
    <row r="708" spans="1:8">
      <c r="A708" s="28">
        <v>45985</v>
      </c>
      <c r="B708" s="16" t="s">
        <v>75</v>
      </c>
      <c r="C708" s="16" t="s">
        <v>15</v>
      </c>
      <c r="D708" s="16" t="s">
        <v>934</v>
      </c>
      <c r="E708" s="16" t="s">
        <v>41</v>
      </c>
      <c r="F708" s="33" t="s">
        <v>64</v>
      </c>
      <c r="G708" s="17" t="s">
        <v>945</v>
      </c>
      <c r="H708" s="29"/>
    </row>
    <row r="709" spans="1:8" ht="31.5">
      <c r="A709" s="28">
        <v>45985</v>
      </c>
      <c r="B709" s="16" t="s">
        <v>91</v>
      </c>
      <c r="C709" s="16" t="s">
        <v>832</v>
      </c>
      <c r="D709" s="16" t="s">
        <v>885</v>
      </c>
      <c r="E709" s="16" t="s">
        <v>41</v>
      </c>
      <c r="F709" s="33" t="s">
        <v>77</v>
      </c>
      <c r="G709" s="17" t="s">
        <v>946</v>
      </c>
      <c r="H709" s="29"/>
    </row>
    <row r="710" spans="1:8">
      <c r="A710" s="28">
        <v>45985</v>
      </c>
      <c r="B710" s="16" t="s">
        <v>91</v>
      </c>
      <c r="C710" s="16" t="s">
        <v>693</v>
      </c>
      <c r="D710" s="16" t="s">
        <v>735</v>
      </c>
      <c r="E710" s="16" t="s">
        <v>41</v>
      </c>
      <c r="F710" s="33" t="s">
        <v>64</v>
      </c>
      <c r="G710" s="17" t="s">
        <v>947</v>
      </c>
      <c r="H710" s="29"/>
    </row>
    <row r="711" spans="1:8">
      <c r="A711" s="28">
        <v>45985</v>
      </c>
      <c r="B711" s="16" t="s">
        <v>91</v>
      </c>
      <c r="C711" s="16" t="s">
        <v>759</v>
      </c>
      <c r="D711" s="16" t="s">
        <v>898</v>
      </c>
      <c r="E711" s="16" t="s">
        <v>41</v>
      </c>
      <c r="F711" s="33" t="s">
        <v>77</v>
      </c>
      <c r="G711" s="17" t="s">
        <v>948</v>
      </c>
      <c r="H711" s="29"/>
    </row>
    <row r="712" spans="1:8" ht="74.099999999999994" customHeight="1">
      <c r="A712" s="28">
        <v>45985</v>
      </c>
      <c r="B712" s="16" t="s">
        <v>197</v>
      </c>
      <c r="C712" s="16" t="s">
        <v>411</v>
      </c>
      <c r="D712" s="16" t="s">
        <v>468</v>
      </c>
      <c r="E712" s="16" t="s">
        <v>41</v>
      </c>
      <c r="F712" s="33" t="s">
        <v>71</v>
      </c>
      <c r="G712" s="17" t="s">
        <v>949</v>
      </c>
      <c r="H712" s="29"/>
    </row>
    <row r="713" spans="1:8">
      <c r="A713" s="28">
        <v>45985</v>
      </c>
      <c r="B713" s="16" t="s">
        <v>91</v>
      </c>
      <c r="C713" s="16" t="s">
        <v>111</v>
      </c>
      <c r="D713" s="16" t="s">
        <v>754</v>
      </c>
      <c r="E713" s="16" t="s">
        <v>41</v>
      </c>
      <c r="F713" s="33" t="s">
        <v>77</v>
      </c>
      <c r="G713" s="17" t="s">
        <v>129</v>
      </c>
      <c r="H713" s="29"/>
    </row>
    <row r="714" spans="1:8" ht="31.5">
      <c r="A714" s="28">
        <v>45986</v>
      </c>
      <c r="B714" s="16" t="s">
        <v>75</v>
      </c>
      <c r="C714" s="16" t="s">
        <v>15</v>
      </c>
      <c r="D714" s="16" t="s">
        <v>560</v>
      </c>
      <c r="E714" s="16" t="s">
        <v>40</v>
      </c>
      <c r="F714" s="33" t="s">
        <v>71</v>
      </c>
      <c r="G714" s="17" t="s">
        <v>950</v>
      </c>
      <c r="H714" s="29"/>
    </row>
    <row r="715" spans="1:8">
      <c r="A715" s="28">
        <v>45986</v>
      </c>
      <c r="B715" s="16" t="s">
        <v>75</v>
      </c>
      <c r="C715" s="16" t="s">
        <v>15</v>
      </c>
      <c r="D715" s="16" t="s">
        <v>496</v>
      </c>
      <c r="E715" s="16" t="s">
        <v>41</v>
      </c>
      <c r="F715" s="33" t="s">
        <v>64</v>
      </c>
      <c r="G715" s="17" t="s">
        <v>951</v>
      </c>
      <c r="H715" s="29"/>
    </row>
    <row r="716" spans="1:8" ht="31.5">
      <c r="A716" s="28">
        <v>45986</v>
      </c>
      <c r="B716" s="16" t="s">
        <v>75</v>
      </c>
      <c r="C716" s="16" t="s">
        <v>15</v>
      </c>
      <c r="D716" s="16" t="s">
        <v>935</v>
      </c>
      <c r="E716" s="16" t="s">
        <v>40</v>
      </c>
      <c r="F716" s="33" t="s">
        <v>71</v>
      </c>
      <c r="G716" s="17" t="s">
        <v>952</v>
      </c>
      <c r="H716" s="29"/>
    </row>
    <row r="717" spans="1:8">
      <c r="A717" s="28">
        <v>45986</v>
      </c>
      <c r="B717" s="16" t="s">
        <v>75</v>
      </c>
      <c r="C717" s="16" t="s">
        <v>15</v>
      </c>
      <c r="D717" s="16" t="s">
        <v>567</v>
      </c>
      <c r="E717" s="16" t="s">
        <v>40</v>
      </c>
      <c r="F717" s="33" t="s">
        <v>71</v>
      </c>
      <c r="G717" s="17" t="s">
        <v>953</v>
      </c>
      <c r="H717" s="29"/>
    </row>
    <row r="718" spans="1:8">
      <c r="A718" s="28">
        <v>45986</v>
      </c>
      <c r="B718" s="16" t="s">
        <v>197</v>
      </c>
      <c r="C718" s="16" t="s">
        <v>15</v>
      </c>
      <c r="D718" s="16" t="s">
        <v>492</v>
      </c>
      <c r="E718" s="16" t="s">
        <v>41</v>
      </c>
      <c r="F718" s="33" t="s">
        <v>64</v>
      </c>
      <c r="G718" s="17" t="s">
        <v>954</v>
      </c>
      <c r="H718" s="29"/>
    </row>
    <row r="719" spans="1:8">
      <c r="A719" s="28">
        <v>45986</v>
      </c>
      <c r="B719" s="16" t="s">
        <v>75</v>
      </c>
      <c r="C719" s="16" t="s">
        <v>15</v>
      </c>
      <c r="D719" s="16" t="s">
        <v>760</v>
      </c>
      <c r="E719" s="16" t="s">
        <v>41</v>
      </c>
      <c r="F719" s="33" t="s">
        <v>77</v>
      </c>
      <c r="G719" s="17" t="s">
        <v>129</v>
      </c>
      <c r="H719" s="29"/>
    </row>
    <row r="720" spans="1:8">
      <c r="A720" s="28">
        <v>45986</v>
      </c>
      <c r="B720" s="16" t="s">
        <v>197</v>
      </c>
      <c r="C720" s="16" t="s">
        <v>411</v>
      </c>
      <c r="D720" s="16" t="s">
        <v>456</v>
      </c>
      <c r="E720" s="16" t="s">
        <v>41</v>
      </c>
      <c r="F720" s="33" t="s">
        <v>71</v>
      </c>
      <c r="G720" s="17" t="s">
        <v>955</v>
      </c>
      <c r="H720" s="29"/>
    </row>
    <row r="721" spans="1:8" ht="63">
      <c r="A721" s="28">
        <v>45987</v>
      </c>
      <c r="B721" s="16" t="s">
        <v>75</v>
      </c>
      <c r="C721" s="16" t="s">
        <v>15</v>
      </c>
      <c r="D721" s="16" t="s">
        <v>496</v>
      </c>
      <c r="E721" s="16" t="s">
        <v>40</v>
      </c>
      <c r="F721" s="33" t="s">
        <v>77</v>
      </c>
      <c r="G721" s="17" t="s">
        <v>956</v>
      </c>
      <c r="H721" s="29"/>
    </row>
    <row r="722" spans="1:8" ht="31.5">
      <c r="A722" s="28">
        <v>45987</v>
      </c>
      <c r="B722" s="16" t="s">
        <v>197</v>
      </c>
      <c r="C722" s="16" t="s">
        <v>15</v>
      </c>
      <c r="D722" s="16" t="s">
        <v>492</v>
      </c>
      <c r="E722" s="16" t="s">
        <v>40</v>
      </c>
      <c r="F722" s="33" t="s">
        <v>71</v>
      </c>
      <c r="G722" s="17" t="s">
        <v>957</v>
      </c>
      <c r="H722" s="29"/>
    </row>
    <row r="723" spans="1:8" ht="78.75">
      <c r="A723" s="28">
        <v>45987</v>
      </c>
      <c r="B723" s="16" t="s">
        <v>91</v>
      </c>
      <c r="C723" s="16" t="s">
        <v>693</v>
      </c>
      <c r="D723" s="16" t="s">
        <v>936</v>
      </c>
      <c r="E723" s="16" t="s">
        <v>40</v>
      </c>
      <c r="F723" s="33" t="s">
        <v>71</v>
      </c>
      <c r="G723" s="17" t="s">
        <v>958</v>
      </c>
      <c r="H723" s="29"/>
    </row>
    <row r="724" spans="1:8">
      <c r="A724" s="28">
        <v>45987</v>
      </c>
      <c r="B724" s="16" t="s">
        <v>91</v>
      </c>
      <c r="C724" s="16" t="s">
        <v>759</v>
      </c>
      <c r="D724" s="16" t="s">
        <v>898</v>
      </c>
      <c r="E724" s="16" t="s">
        <v>41</v>
      </c>
      <c r="F724" s="33" t="s">
        <v>64</v>
      </c>
      <c r="G724" s="17" t="s">
        <v>959</v>
      </c>
      <c r="H724" s="29"/>
    </row>
    <row r="725" spans="1:8">
      <c r="A725" s="28">
        <v>45987</v>
      </c>
      <c r="B725" s="16" t="s">
        <v>75</v>
      </c>
      <c r="C725" s="16" t="s">
        <v>14</v>
      </c>
      <c r="D725" s="16" t="s">
        <v>142</v>
      </c>
      <c r="E725" s="16" t="s">
        <v>41</v>
      </c>
      <c r="F725" s="33" t="s">
        <v>77</v>
      </c>
      <c r="G725" s="17" t="s">
        <v>129</v>
      </c>
      <c r="H725" s="29"/>
    </row>
    <row r="726" spans="1:8">
      <c r="A726" s="28">
        <v>45987</v>
      </c>
      <c r="B726" s="16" t="s">
        <v>75</v>
      </c>
      <c r="C726" s="16" t="s">
        <v>15</v>
      </c>
      <c r="D726" s="16" t="s">
        <v>571</v>
      </c>
      <c r="E726" s="16" t="s">
        <v>41</v>
      </c>
      <c r="F726" s="33" t="s">
        <v>77</v>
      </c>
      <c r="G726" s="17" t="s">
        <v>129</v>
      </c>
      <c r="H726" s="29"/>
    </row>
    <row r="727" spans="1:8">
      <c r="A727" s="28">
        <v>45987</v>
      </c>
      <c r="B727" s="16" t="s">
        <v>91</v>
      </c>
      <c r="C727" s="16" t="s">
        <v>111</v>
      </c>
      <c r="D727" s="16" t="s">
        <v>754</v>
      </c>
      <c r="E727" s="16" t="s">
        <v>41</v>
      </c>
      <c r="F727" s="33" t="s">
        <v>77</v>
      </c>
      <c r="G727" s="17" t="s">
        <v>129</v>
      </c>
      <c r="H727" s="29"/>
    </row>
    <row r="728" spans="1:8">
      <c r="A728" s="28">
        <v>45987</v>
      </c>
      <c r="B728" s="16" t="s">
        <v>75</v>
      </c>
      <c r="C728" s="16" t="s">
        <v>775</v>
      </c>
      <c r="D728" s="16" t="s">
        <v>776</v>
      </c>
      <c r="E728" s="16" t="s">
        <v>41</v>
      </c>
      <c r="F728" s="33" t="s">
        <v>77</v>
      </c>
      <c r="G728" s="17" t="s">
        <v>960</v>
      </c>
      <c r="H728" s="29"/>
    </row>
    <row r="729" spans="1:8">
      <c r="A729" s="28">
        <v>45988</v>
      </c>
      <c r="B729" s="16" t="s">
        <v>75</v>
      </c>
      <c r="C729" s="16" t="s">
        <v>121</v>
      </c>
      <c r="D729" s="16" t="s">
        <v>198</v>
      </c>
      <c r="E729" s="16" t="s">
        <v>41</v>
      </c>
      <c r="F729" s="33" t="s">
        <v>77</v>
      </c>
      <c r="G729" s="17" t="s">
        <v>961</v>
      </c>
      <c r="H729" s="29"/>
    </row>
    <row r="730" spans="1:8">
      <c r="A730" s="28">
        <v>45988</v>
      </c>
      <c r="B730" s="16" t="s">
        <v>91</v>
      </c>
      <c r="C730" s="16" t="s">
        <v>692</v>
      </c>
      <c r="D730" s="16" t="s">
        <v>696</v>
      </c>
      <c r="E730" s="16" t="s">
        <v>41</v>
      </c>
      <c r="F730" s="33" t="s">
        <v>77</v>
      </c>
      <c r="G730" s="17" t="s">
        <v>962</v>
      </c>
      <c r="H730" s="29"/>
    </row>
    <row r="731" spans="1:8">
      <c r="A731" s="28">
        <v>45988</v>
      </c>
      <c r="B731" s="16" t="s">
        <v>91</v>
      </c>
      <c r="C731" s="16" t="s">
        <v>830</v>
      </c>
      <c r="D731" s="16" t="s">
        <v>831</v>
      </c>
      <c r="E731" s="16" t="s">
        <v>63</v>
      </c>
      <c r="F731" s="33" t="s">
        <v>77</v>
      </c>
      <c r="G731" s="17" t="s">
        <v>834</v>
      </c>
      <c r="H731" s="29"/>
    </row>
    <row r="732" spans="1:8">
      <c r="A732" s="28">
        <v>45988</v>
      </c>
      <c r="B732" s="16" t="s">
        <v>197</v>
      </c>
      <c r="C732" s="16" t="s">
        <v>15</v>
      </c>
      <c r="D732" s="16" t="s">
        <v>734</v>
      </c>
      <c r="E732" s="16" t="s">
        <v>41</v>
      </c>
      <c r="F732" s="33" t="s">
        <v>77</v>
      </c>
      <c r="G732" s="17" t="s">
        <v>963</v>
      </c>
      <c r="H732" s="29"/>
    </row>
    <row r="733" spans="1:8">
      <c r="A733" s="28">
        <v>45988</v>
      </c>
      <c r="B733" s="16" t="s">
        <v>91</v>
      </c>
      <c r="C733" s="16" t="s">
        <v>344</v>
      </c>
      <c r="D733" s="16" t="s">
        <v>686</v>
      </c>
      <c r="E733" s="16" t="s">
        <v>41</v>
      </c>
      <c r="F733" s="33" t="s">
        <v>77</v>
      </c>
      <c r="G733" s="17" t="s">
        <v>129</v>
      </c>
      <c r="H733" s="29"/>
    </row>
    <row r="734" spans="1:8">
      <c r="A734" s="28">
        <v>45988</v>
      </c>
      <c r="B734" s="16" t="s">
        <v>75</v>
      </c>
      <c r="C734" s="16" t="s">
        <v>295</v>
      </c>
      <c r="D734" s="16" t="s">
        <v>296</v>
      </c>
      <c r="E734" s="16" t="s">
        <v>41</v>
      </c>
      <c r="F734" s="33" t="s">
        <v>71</v>
      </c>
      <c r="G734" s="17" t="s">
        <v>964</v>
      </c>
      <c r="H734" s="29"/>
    </row>
    <row r="735" spans="1:8" ht="31.5">
      <c r="A735" s="28">
        <v>45988</v>
      </c>
      <c r="B735" s="16" t="s">
        <v>75</v>
      </c>
      <c r="C735" s="16" t="s">
        <v>15</v>
      </c>
      <c r="D735" s="16" t="s">
        <v>567</v>
      </c>
      <c r="E735" s="16" t="s">
        <v>41</v>
      </c>
      <c r="F735" s="33" t="s">
        <v>71</v>
      </c>
      <c r="G735" s="17" t="s">
        <v>965</v>
      </c>
      <c r="H735" s="29"/>
    </row>
    <row r="736" spans="1:8">
      <c r="A736" s="28">
        <v>45988</v>
      </c>
      <c r="B736" s="16" t="s">
        <v>91</v>
      </c>
      <c r="C736" s="16" t="s">
        <v>832</v>
      </c>
      <c r="D736" s="16" t="s">
        <v>937</v>
      </c>
      <c r="E736" s="16" t="s">
        <v>41</v>
      </c>
      <c r="F736" s="33" t="s">
        <v>77</v>
      </c>
      <c r="G736" s="17" t="s">
        <v>938</v>
      </c>
      <c r="H736" s="29"/>
    </row>
    <row r="737" spans="1:8">
      <c r="A737" s="28">
        <v>45988</v>
      </c>
      <c r="B737" s="16" t="s">
        <v>939</v>
      </c>
      <c r="C737" s="16" t="s">
        <v>15</v>
      </c>
      <c r="D737" s="16" t="s">
        <v>940</v>
      </c>
      <c r="E737" s="16" t="s">
        <v>41</v>
      </c>
      <c r="F737" s="33" t="s">
        <v>77</v>
      </c>
      <c r="G737" s="17" t="s">
        <v>129</v>
      </c>
      <c r="H737" s="29"/>
    </row>
    <row r="738" spans="1:8">
      <c r="A738" s="28">
        <v>45989</v>
      </c>
      <c r="B738" s="16" t="s">
        <v>939</v>
      </c>
      <c r="C738" s="16" t="s">
        <v>15</v>
      </c>
      <c r="D738" s="16" t="s">
        <v>812</v>
      </c>
      <c r="E738" s="16" t="s">
        <v>41</v>
      </c>
      <c r="F738" s="33" t="s">
        <v>77</v>
      </c>
      <c r="G738" s="17" t="s">
        <v>966</v>
      </c>
      <c r="H738" s="29"/>
    </row>
    <row r="739" spans="1:8" ht="31.5">
      <c r="A739" s="28">
        <v>45989</v>
      </c>
      <c r="B739" s="16" t="s">
        <v>939</v>
      </c>
      <c r="C739" s="16" t="s">
        <v>15</v>
      </c>
      <c r="D739" s="16" t="s">
        <v>848</v>
      </c>
      <c r="E739" s="16" t="s">
        <v>62</v>
      </c>
      <c r="F739" s="33" t="s">
        <v>71</v>
      </c>
      <c r="G739" s="17" t="s">
        <v>968</v>
      </c>
      <c r="H739" s="29"/>
    </row>
    <row r="740" spans="1:8" ht="47.25">
      <c r="A740" s="28">
        <v>45989</v>
      </c>
      <c r="B740" s="16" t="s">
        <v>939</v>
      </c>
      <c r="C740" s="16" t="s">
        <v>15</v>
      </c>
      <c r="D740" s="16" t="s">
        <v>145</v>
      </c>
      <c r="E740" s="16" t="s">
        <v>62</v>
      </c>
      <c r="F740" s="33" t="s">
        <v>71</v>
      </c>
      <c r="G740" s="17" t="s">
        <v>969</v>
      </c>
      <c r="H740" s="29"/>
    </row>
    <row r="741" spans="1:8">
      <c r="A741" s="28">
        <v>45989</v>
      </c>
      <c r="B741" s="16" t="s">
        <v>197</v>
      </c>
      <c r="C741" s="16" t="s">
        <v>601</v>
      </c>
      <c r="D741" s="16" t="s">
        <v>602</v>
      </c>
      <c r="E741" s="16" t="s">
        <v>41</v>
      </c>
      <c r="F741" s="33" t="s">
        <v>77</v>
      </c>
      <c r="G741" s="17" t="s">
        <v>970</v>
      </c>
      <c r="H741" s="29"/>
    </row>
    <row r="742" spans="1:8">
      <c r="A742" s="28">
        <v>45989</v>
      </c>
      <c r="B742" s="16" t="s">
        <v>91</v>
      </c>
      <c r="C742" s="16" t="s">
        <v>758</v>
      </c>
      <c r="D742" s="16" t="s">
        <v>943</v>
      </c>
      <c r="E742" s="16" t="s">
        <v>41</v>
      </c>
      <c r="F742" s="33" t="s">
        <v>77</v>
      </c>
      <c r="G742" s="17"/>
      <c r="H742" s="29"/>
    </row>
    <row r="743" spans="1:8">
      <c r="A743" s="28">
        <v>45989</v>
      </c>
      <c r="B743" s="16" t="s">
        <v>75</v>
      </c>
      <c r="C743" s="16" t="s">
        <v>15</v>
      </c>
      <c r="D743" s="16" t="s">
        <v>196</v>
      </c>
      <c r="E743" s="16" t="s">
        <v>41</v>
      </c>
      <c r="F743" s="33" t="s">
        <v>71</v>
      </c>
      <c r="G743" s="17" t="s">
        <v>971</v>
      </c>
      <c r="H743" s="29"/>
    </row>
    <row r="744" spans="1:8">
      <c r="A744" s="28">
        <v>45989</v>
      </c>
      <c r="B744" s="16" t="s">
        <v>91</v>
      </c>
      <c r="C744" s="40" t="s">
        <v>823</v>
      </c>
      <c r="D744" s="16" t="s">
        <v>941</v>
      </c>
      <c r="E744" s="16" t="s">
        <v>41</v>
      </c>
      <c r="F744" s="33" t="s">
        <v>77</v>
      </c>
      <c r="G744" s="17" t="s">
        <v>942</v>
      </c>
      <c r="H744" s="29"/>
    </row>
    <row r="745" spans="1:8" ht="31.5">
      <c r="A745" s="28">
        <v>45989</v>
      </c>
      <c r="B745" s="16" t="s">
        <v>197</v>
      </c>
      <c r="C745" s="16" t="s">
        <v>15</v>
      </c>
      <c r="D745" s="16" t="s">
        <v>492</v>
      </c>
      <c r="E745" s="16" t="s">
        <v>41</v>
      </c>
      <c r="F745" s="33" t="s">
        <v>71</v>
      </c>
      <c r="G745" s="17" t="s">
        <v>972</v>
      </c>
      <c r="H745" s="29"/>
    </row>
    <row r="746" spans="1:8">
      <c r="A746" s="28">
        <v>45989</v>
      </c>
      <c r="B746" s="16" t="s">
        <v>75</v>
      </c>
      <c r="C746" s="16" t="s">
        <v>295</v>
      </c>
      <c r="D746" s="16" t="s">
        <v>296</v>
      </c>
      <c r="E746" s="16" t="s">
        <v>41</v>
      </c>
      <c r="F746" s="33" t="s">
        <v>71</v>
      </c>
      <c r="G746" s="17" t="s">
        <v>973</v>
      </c>
      <c r="H746" s="29"/>
    </row>
    <row r="747" spans="1:8">
      <c r="A747" s="28">
        <v>45989</v>
      </c>
      <c r="B747" s="16" t="s">
        <v>75</v>
      </c>
      <c r="C747" s="16" t="s">
        <v>14</v>
      </c>
      <c r="D747" s="16" t="s">
        <v>142</v>
      </c>
      <c r="E747" s="16" t="s">
        <v>41</v>
      </c>
      <c r="F747" s="33" t="s">
        <v>77</v>
      </c>
      <c r="G747" s="17" t="s">
        <v>129</v>
      </c>
      <c r="H747" s="29"/>
    </row>
    <row r="748" spans="1:8">
      <c r="A748" s="28">
        <v>45989</v>
      </c>
      <c r="B748" s="16" t="s">
        <v>91</v>
      </c>
      <c r="C748" s="16" t="s">
        <v>111</v>
      </c>
      <c r="D748" s="16" t="s">
        <v>754</v>
      </c>
      <c r="E748" s="16" t="s">
        <v>41</v>
      </c>
      <c r="F748" s="33" t="s">
        <v>77</v>
      </c>
      <c r="G748" s="17" t="s">
        <v>129</v>
      </c>
      <c r="H748" s="29"/>
    </row>
    <row r="749" spans="1:8">
      <c r="A749" s="28">
        <v>45989</v>
      </c>
      <c r="B749" s="16" t="s">
        <v>75</v>
      </c>
      <c r="C749" s="16" t="s">
        <v>15</v>
      </c>
      <c r="D749" s="16" t="s">
        <v>967</v>
      </c>
      <c r="E749" s="16" t="s">
        <v>41</v>
      </c>
      <c r="F749" s="33" t="s">
        <v>71</v>
      </c>
      <c r="G749" s="17" t="s">
        <v>974</v>
      </c>
      <c r="H749" s="29"/>
    </row>
    <row r="750" spans="1:8" ht="16.5" thickBot="1">
      <c r="A750" s="31"/>
      <c r="B750" s="20"/>
      <c r="C750" s="20"/>
      <c r="D750" s="20"/>
      <c r="E750" s="20"/>
      <c r="F750" s="20"/>
      <c r="G750" s="20"/>
      <c r="H750" s="30"/>
    </row>
    <row r="751" spans="1:8" ht="16.5" thickBot="1"/>
    <row r="752" spans="1:8">
      <c r="A752" s="3" t="s">
        <v>70</v>
      </c>
      <c r="B752" s="4" t="s">
        <v>72</v>
      </c>
      <c r="C752" s="4" t="s">
        <v>16</v>
      </c>
      <c r="D752" s="34" t="s">
        <v>155</v>
      </c>
      <c r="E752" s="9" t="s">
        <v>156</v>
      </c>
      <c r="F752" s="10" t="s">
        <v>157</v>
      </c>
    </row>
    <row r="753" spans="1:8">
      <c r="A753" s="122" t="s">
        <v>63</v>
      </c>
      <c r="B753" s="16" t="s">
        <v>68</v>
      </c>
      <c r="C753" s="16">
        <v>9</v>
      </c>
      <c r="D753" s="16">
        <v>9</v>
      </c>
      <c r="E753" s="123">
        <f>D753+D755+D757</f>
        <v>10.666666666666666</v>
      </c>
      <c r="F753" s="124">
        <f>E753/12</f>
        <v>0.88888888888888884</v>
      </c>
    </row>
    <row r="754" spans="1:8">
      <c r="A754" s="122"/>
      <c r="B754" s="125" t="s">
        <v>65</v>
      </c>
      <c r="C754" s="125">
        <v>5</v>
      </c>
      <c r="D754" s="35" t="s">
        <v>158</v>
      </c>
      <c r="E754" s="123"/>
      <c r="F754" s="124"/>
    </row>
    <row r="755" spans="1:8">
      <c r="A755" s="122"/>
      <c r="B755" s="125"/>
      <c r="C755" s="125"/>
      <c r="D755" s="16">
        <f>C754/3</f>
        <v>1.6666666666666667</v>
      </c>
      <c r="E755" s="123"/>
      <c r="F755" s="124"/>
    </row>
    <row r="756" spans="1:8">
      <c r="A756" s="122"/>
      <c r="B756" s="125" t="s">
        <v>69</v>
      </c>
      <c r="C756" s="125">
        <v>21</v>
      </c>
      <c r="D756" s="35" t="s">
        <v>159</v>
      </c>
      <c r="E756" s="123"/>
      <c r="F756" s="124"/>
    </row>
    <row r="757" spans="1:8">
      <c r="A757" s="122"/>
      <c r="B757" s="125"/>
      <c r="C757" s="125"/>
      <c r="D757" s="16">
        <v>0</v>
      </c>
      <c r="E757" s="123"/>
      <c r="F757" s="124"/>
    </row>
    <row r="758" spans="1:8">
      <c r="A758" s="36" t="s">
        <v>70</v>
      </c>
      <c r="B758" s="37" t="s">
        <v>72</v>
      </c>
      <c r="C758" s="37"/>
      <c r="D758" s="126" t="s">
        <v>160</v>
      </c>
      <c r="E758" s="126"/>
      <c r="F758" s="127"/>
    </row>
    <row r="759" spans="1:8">
      <c r="A759" s="122" t="s">
        <v>62</v>
      </c>
      <c r="B759" s="16" t="s">
        <v>68</v>
      </c>
      <c r="C759" s="16">
        <v>7</v>
      </c>
      <c r="D759" s="129">
        <f>C759/9</f>
        <v>0.77777777777777779</v>
      </c>
      <c r="E759" s="129"/>
      <c r="F759" s="124"/>
    </row>
    <row r="760" spans="1:8" ht="16.5" thickBot="1">
      <c r="A760" s="128"/>
      <c r="B760" s="20" t="s">
        <v>69</v>
      </c>
      <c r="C760" s="20">
        <v>1</v>
      </c>
      <c r="D760" s="130"/>
      <c r="E760" s="130"/>
      <c r="F760" s="131"/>
    </row>
    <row r="762" spans="1:8" ht="16.5" thickBot="1">
      <c r="A762" s="14" t="s">
        <v>908</v>
      </c>
    </row>
    <row r="763" spans="1:8">
      <c r="A763" s="3" t="s">
        <v>58</v>
      </c>
      <c r="B763" s="4" t="s">
        <v>67</v>
      </c>
      <c r="C763" s="4" t="s">
        <v>3</v>
      </c>
      <c r="D763" s="4" t="s">
        <v>57</v>
      </c>
      <c r="E763" s="4" t="s">
        <v>59</v>
      </c>
      <c r="F763" s="4" t="s">
        <v>61</v>
      </c>
      <c r="G763" s="4" t="s">
        <v>60</v>
      </c>
      <c r="H763" s="5" t="s">
        <v>66</v>
      </c>
    </row>
    <row r="764" spans="1:8" ht="31.5">
      <c r="A764" s="28">
        <v>45992</v>
      </c>
      <c r="B764" s="16" t="s">
        <v>75</v>
      </c>
      <c r="C764" s="16" t="s">
        <v>42</v>
      </c>
      <c r="D764" s="16" t="s">
        <v>980</v>
      </c>
      <c r="E764" s="16" t="s">
        <v>41</v>
      </c>
      <c r="F764" s="33" t="s">
        <v>71</v>
      </c>
      <c r="G764" s="17" t="s">
        <v>981</v>
      </c>
      <c r="H764" s="29"/>
    </row>
    <row r="765" spans="1:8">
      <c r="A765" s="28">
        <v>45992</v>
      </c>
      <c r="B765" s="16" t="s">
        <v>75</v>
      </c>
      <c r="C765" s="16" t="s">
        <v>14</v>
      </c>
      <c r="D765" s="16" t="s">
        <v>142</v>
      </c>
      <c r="E765" s="16" t="s">
        <v>41</v>
      </c>
      <c r="F765" s="33" t="s">
        <v>71</v>
      </c>
      <c r="G765" s="17" t="s">
        <v>978</v>
      </c>
      <c r="H765" s="29"/>
    </row>
    <row r="766" spans="1:8">
      <c r="A766" s="28">
        <v>45993</v>
      </c>
      <c r="B766" s="16" t="s">
        <v>75</v>
      </c>
      <c r="C766" s="16" t="s">
        <v>15</v>
      </c>
      <c r="D766" s="16" t="s">
        <v>940</v>
      </c>
      <c r="E766" s="16" t="s">
        <v>41</v>
      </c>
      <c r="F766" s="33" t="s">
        <v>64</v>
      </c>
      <c r="G766" s="17" t="s">
        <v>982</v>
      </c>
      <c r="H766" s="29"/>
    </row>
    <row r="767" spans="1:8">
      <c r="A767" s="28">
        <v>45993</v>
      </c>
      <c r="B767" s="16" t="s">
        <v>75</v>
      </c>
      <c r="C767" s="16" t="s">
        <v>693</v>
      </c>
      <c r="D767" s="16" t="s">
        <v>893</v>
      </c>
      <c r="E767" s="16" t="s">
        <v>41</v>
      </c>
      <c r="F767" s="33" t="s">
        <v>71</v>
      </c>
      <c r="G767" s="17" t="s">
        <v>983</v>
      </c>
      <c r="H767" s="29"/>
    </row>
    <row r="768" spans="1:8">
      <c r="A768" s="28">
        <v>45993</v>
      </c>
      <c r="B768" s="16" t="s">
        <v>91</v>
      </c>
      <c r="C768" s="16" t="s">
        <v>759</v>
      </c>
      <c r="D768" s="16" t="s">
        <v>898</v>
      </c>
      <c r="E768" s="16" t="s">
        <v>41</v>
      </c>
      <c r="F768" s="33" t="s">
        <v>64</v>
      </c>
      <c r="G768" s="17" t="s">
        <v>984</v>
      </c>
      <c r="H768" s="29"/>
    </row>
    <row r="769" spans="1:8">
      <c r="A769" s="28">
        <v>45993</v>
      </c>
      <c r="B769" s="16" t="s">
        <v>75</v>
      </c>
      <c r="C769" s="16" t="s">
        <v>333</v>
      </c>
      <c r="D769" s="16" t="s">
        <v>523</v>
      </c>
      <c r="E769" s="16" t="s">
        <v>41</v>
      </c>
      <c r="F769" s="33" t="s">
        <v>64</v>
      </c>
      <c r="G769" s="17" t="s">
        <v>985</v>
      </c>
      <c r="H769" s="29"/>
    </row>
    <row r="770" spans="1:8">
      <c r="A770" s="28">
        <v>45993</v>
      </c>
      <c r="B770" s="16" t="s">
        <v>76</v>
      </c>
      <c r="C770" s="16" t="s">
        <v>458</v>
      </c>
      <c r="D770" s="16" t="s">
        <v>460</v>
      </c>
      <c r="E770" s="16" t="s">
        <v>41</v>
      </c>
      <c r="F770" s="33" t="s">
        <v>64</v>
      </c>
      <c r="G770" s="17" t="s">
        <v>986</v>
      </c>
      <c r="H770" s="29"/>
    </row>
    <row r="771" spans="1:8">
      <c r="A771" s="28">
        <v>45993</v>
      </c>
      <c r="B771" s="16" t="s">
        <v>76</v>
      </c>
      <c r="C771" s="16" t="s">
        <v>176</v>
      </c>
      <c r="D771" s="16" t="s">
        <v>189</v>
      </c>
      <c r="E771" s="16" t="s">
        <v>41</v>
      </c>
      <c r="F771" s="33" t="s">
        <v>64</v>
      </c>
      <c r="G771" s="17" t="s">
        <v>986</v>
      </c>
      <c r="H771" s="29"/>
    </row>
    <row r="772" spans="1:8">
      <c r="A772" s="28">
        <v>45993</v>
      </c>
      <c r="B772" s="16" t="s">
        <v>76</v>
      </c>
      <c r="C772" s="16" t="s">
        <v>601</v>
      </c>
      <c r="D772" s="16" t="s">
        <v>602</v>
      </c>
      <c r="E772" s="16" t="s">
        <v>41</v>
      </c>
      <c r="F772" s="33" t="s">
        <v>64</v>
      </c>
      <c r="G772" s="17" t="s">
        <v>986</v>
      </c>
      <c r="H772" s="29"/>
    </row>
    <row r="773" spans="1:8">
      <c r="A773" s="28">
        <v>45993</v>
      </c>
      <c r="B773" s="16" t="s">
        <v>75</v>
      </c>
      <c r="C773" s="16" t="s">
        <v>15</v>
      </c>
      <c r="D773" s="16" t="s">
        <v>987</v>
      </c>
      <c r="E773" s="16" t="s">
        <v>41</v>
      </c>
      <c r="F773" s="33" t="s">
        <v>64</v>
      </c>
      <c r="G773" s="17" t="s">
        <v>988</v>
      </c>
      <c r="H773" s="29"/>
    </row>
    <row r="774" spans="1:8">
      <c r="A774" s="28">
        <v>45993</v>
      </c>
      <c r="B774" s="16" t="s">
        <v>75</v>
      </c>
      <c r="C774" s="16" t="s">
        <v>15</v>
      </c>
      <c r="D774" s="16" t="s">
        <v>162</v>
      </c>
      <c r="E774" s="16" t="s">
        <v>41</v>
      </c>
      <c r="F774" s="33" t="s">
        <v>77</v>
      </c>
      <c r="G774" s="17" t="s">
        <v>129</v>
      </c>
      <c r="H774" s="29"/>
    </row>
    <row r="775" spans="1:8">
      <c r="A775" s="28">
        <v>45993</v>
      </c>
      <c r="B775" s="16" t="s">
        <v>75</v>
      </c>
      <c r="C775" s="16" t="s">
        <v>111</v>
      </c>
      <c r="D775" s="16" t="s">
        <v>754</v>
      </c>
      <c r="E775" s="16" t="s">
        <v>41</v>
      </c>
      <c r="F775" s="33" t="s">
        <v>77</v>
      </c>
      <c r="G775" s="17" t="s">
        <v>129</v>
      </c>
      <c r="H775" s="29"/>
    </row>
    <row r="776" spans="1:8">
      <c r="A776" s="28">
        <v>45994</v>
      </c>
      <c r="B776" s="16" t="s">
        <v>197</v>
      </c>
      <c r="C776" s="16" t="s">
        <v>15</v>
      </c>
      <c r="D776" s="16" t="s">
        <v>734</v>
      </c>
      <c r="E776" s="16" t="s">
        <v>41</v>
      </c>
      <c r="F776" s="33" t="s">
        <v>77</v>
      </c>
      <c r="G776" s="17" t="s">
        <v>989</v>
      </c>
      <c r="H776" s="29"/>
    </row>
    <row r="777" spans="1:8">
      <c r="A777" s="28">
        <v>45994</v>
      </c>
      <c r="B777" s="16" t="s">
        <v>75</v>
      </c>
      <c r="C777" s="16" t="s">
        <v>979</v>
      </c>
      <c r="D777" s="16" t="s">
        <v>990</v>
      </c>
      <c r="E777" s="16" t="s">
        <v>40</v>
      </c>
      <c r="F777" s="33" t="s">
        <v>77</v>
      </c>
      <c r="G777" s="17" t="s">
        <v>991</v>
      </c>
      <c r="H777" s="29"/>
    </row>
    <row r="778" spans="1:8">
      <c r="A778" s="28">
        <v>45994</v>
      </c>
      <c r="B778" s="16" t="s">
        <v>76</v>
      </c>
      <c r="C778" s="16" t="s">
        <v>458</v>
      </c>
      <c r="D778" s="16" t="s">
        <v>460</v>
      </c>
      <c r="E778" s="16" t="s">
        <v>40</v>
      </c>
      <c r="F778" s="33" t="s">
        <v>71</v>
      </c>
      <c r="G778" s="17" t="s">
        <v>992</v>
      </c>
      <c r="H778" s="29"/>
    </row>
    <row r="779" spans="1:8">
      <c r="A779" s="28">
        <v>45994</v>
      </c>
      <c r="B779" s="16" t="s">
        <v>76</v>
      </c>
      <c r="C779" s="16" t="s">
        <v>176</v>
      </c>
      <c r="D779" s="16" t="s">
        <v>189</v>
      </c>
      <c r="E779" s="16" t="s">
        <v>40</v>
      </c>
      <c r="F779" s="33" t="s">
        <v>71</v>
      </c>
      <c r="G779" s="17" t="s">
        <v>992</v>
      </c>
      <c r="H779" s="29"/>
    </row>
    <row r="780" spans="1:8" ht="47.25">
      <c r="A780" s="28">
        <v>45995</v>
      </c>
      <c r="B780" s="16" t="s">
        <v>75</v>
      </c>
      <c r="C780" s="16" t="s">
        <v>15</v>
      </c>
      <c r="D780" s="16" t="s">
        <v>987</v>
      </c>
      <c r="E780" s="16" t="s">
        <v>40</v>
      </c>
      <c r="F780" s="33" t="s">
        <v>71</v>
      </c>
      <c r="G780" s="17" t="s">
        <v>993</v>
      </c>
      <c r="H780" s="29"/>
    </row>
    <row r="781" spans="1:8">
      <c r="A781" s="28">
        <v>45995</v>
      </c>
      <c r="B781" s="16" t="s">
        <v>75</v>
      </c>
      <c r="C781" s="16" t="s">
        <v>333</v>
      </c>
      <c r="D781" s="16" t="s">
        <v>994</v>
      </c>
      <c r="E781" s="16" t="s">
        <v>40</v>
      </c>
      <c r="F781" s="33" t="s">
        <v>71</v>
      </c>
      <c r="G781" s="17" t="s">
        <v>995</v>
      </c>
      <c r="H781" s="29"/>
    </row>
    <row r="782" spans="1:8" ht="31.5">
      <c r="A782" s="28">
        <v>45995</v>
      </c>
      <c r="B782" s="16" t="s">
        <v>75</v>
      </c>
      <c r="C782" s="16" t="s">
        <v>370</v>
      </c>
      <c r="D782" s="16" t="s">
        <v>997</v>
      </c>
      <c r="E782" s="16" t="s">
        <v>41</v>
      </c>
      <c r="F782" s="33" t="s">
        <v>71</v>
      </c>
      <c r="G782" s="17" t="s">
        <v>998</v>
      </c>
      <c r="H782" s="29"/>
    </row>
    <row r="783" spans="1:8" ht="47.25">
      <c r="A783" s="28">
        <v>45996</v>
      </c>
      <c r="B783" s="16" t="s">
        <v>91</v>
      </c>
      <c r="C783" s="16" t="s">
        <v>759</v>
      </c>
      <c r="D783" s="16" t="s">
        <v>999</v>
      </c>
      <c r="E783" s="16" t="s">
        <v>40</v>
      </c>
      <c r="F783" s="33" t="s">
        <v>71</v>
      </c>
      <c r="G783" s="17" t="s">
        <v>1000</v>
      </c>
      <c r="H783" s="29"/>
    </row>
    <row r="784" spans="1:8">
      <c r="A784" s="28">
        <v>45996</v>
      </c>
      <c r="B784" s="16" t="s">
        <v>75</v>
      </c>
      <c r="C784" s="16" t="s">
        <v>15</v>
      </c>
      <c r="D784" s="16" t="s">
        <v>940</v>
      </c>
      <c r="E784" s="16" t="s">
        <v>40</v>
      </c>
      <c r="F784" s="33" t="s">
        <v>71</v>
      </c>
      <c r="G784" s="17" t="s">
        <v>1001</v>
      </c>
      <c r="H784" s="29"/>
    </row>
    <row r="785" spans="1:8">
      <c r="A785" s="28">
        <v>45996</v>
      </c>
      <c r="B785" s="16" t="s">
        <v>76</v>
      </c>
      <c r="C785" s="16" t="s">
        <v>15</v>
      </c>
      <c r="D785" s="16" t="s">
        <v>499</v>
      </c>
      <c r="E785" s="16" t="s">
        <v>40</v>
      </c>
      <c r="F785" s="33" t="s">
        <v>77</v>
      </c>
      <c r="G785" s="17" t="s">
        <v>996</v>
      </c>
      <c r="H785" s="29"/>
    </row>
    <row r="786" spans="1:8" ht="16.5" thickBot="1">
      <c r="A786" s="31"/>
      <c r="B786" s="20"/>
      <c r="C786" s="20"/>
      <c r="D786" s="20"/>
      <c r="E786" s="20"/>
      <c r="F786" s="20"/>
      <c r="G786" s="20"/>
      <c r="H786" s="30"/>
    </row>
    <row r="787" spans="1:8" ht="16.5" thickBot="1"/>
    <row r="788" spans="1:8">
      <c r="A788" s="3" t="s">
        <v>70</v>
      </c>
      <c r="B788" s="4" t="s">
        <v>72</v>
      </c>
      <c r="C788" s="4" t="s">
        <v>16</v>
      </c>
      <c r="D788" s="34" t="s">
        <v>155</v>
      </c>
      <c r="E788" s="9" t="s">
        <v>156</v>
      </c>
      <c r="F788" s="10" t="s">
        <v>157</v>
      </c>
    </row>
    <row r="789" spans="1:8">
      <c r="A789" s="122" t="s">
        <v>63</v>
      </c>
      <c r="B789" s="16" t="s">
        <v>68</v>
      </c>
      <c r="C789" s="16">
        <v>4</v>
      </c>
      <c r="D789" s="16">
        <v>4</v>
      </c>
      <c r="E789" s="123">
        <f>D789+D791+D793</f>
        <v>6.3333333333333339</v>
      </c>
      <c r="F789" s="124">
        <f>E789/12</f>
        <v>0.52777777777777779</v>
      </c>
    </row>
    <row r="790" spans="1:8">
      <c r="A790" s="122"/>
      <c r="B790" s="125" t="s">
        <v>65</v>
      </c>
      <c r="C790" s="125">
        <v>7</v>
      </c>
      <c r="D790" s="35" t="s">
        <v>158</v>
      </c>
      <c r="E790" s="123"/>
      <c r="F790" s="124"/>
    </row>
    <row r="791" spans="1:8">
      <c r="A791" s="122"/>
      <c r="B791" s="125"/>
      <c r="C791" s="125"/>
      <c r="D791" s="16">
        <f>C790/3</f>
        <v>2.3333333333333335</v>
      </c>
      <c r="E791" s="123"/>
      <c r="F791" s="124"/>
    </row>
    <row r="792" spans="1:8">
      <c r="A792" s="122"/>
      <c r="B792" s="125" t="s">
        <v>69</v>
      </c>
      <c r="C792" s="125">
        <v>3</v>
      </c>
      <c r="D792" s="35" t="s">
        <v>159</v>
      </c>
      <c r="E792" s="123"/>
      <c r="F792" s="124"/>
    </row>
    <row r="793" spans="1:8">
      <c r="A793" s="122"/>
      <c r="B793" s="125"/>
      <c r="C793" s="125"/>
      <c r="D793" s="16">
        <v>0</v>
      </c>
      <c r="E793" s="123"/>
      <c r="F793" s="124"/>
    </row>
    <row r="794" spans="1:8">
      <c r="A794" s="36" t="s">
        <v>70</v>
      </c>
      <c r="B794" s="37" t="s">
        <v>72</v>
      </c>
      <c r="C794" s="37"/>
      <c r="D794" s="126" t="s">
        <v>160</v>
      </c>
      <c r="E794" s="126"/>
      <c r="F794" s="127"/>
    </row>
    <row r="795" spans="1:8">
      <c r="A795" s="122" t="s">
        <v>62</v>
      </c>
      <c r="B795" s="16" t="s">
        <v>68</v>
      </c>
      <c r="C795" s="16">
        <v>6</v>
      </c>
      <c r="D795" s="129">
        <f>C795/9</f>
        <v>0.66666666666666663</v>
      </c>
      <c r="E795" s="129"/>
      <c r="F795" s="124"/>
    </row>
    <row r="796" spans="1:8" ht="16.5" thickBot="1">
      <c r="A796" s="128"/>
      <c r="B796" s="20" t="s">
        <v>69</v>
      </c>
      <c r="C796" s="20">
        <v>2</v>
      </c>
      <c r="D796" s="130"/>
      <c r="E796" s="130"/>
      <c r="F796" s="131"/>
    </row>
    <row r="798" spans="1:8" ht="16.5" thickBot="1">
      <c r="A798" s="14" t="s">
        <v>909</v>
      </c>
    </row>
    <row r="799" spans="1:8">
      <c r="A799" s="3" t="s">
        <v>58</v>
      </c>
      <c r="B799" s="4" t="s">
        <v>67</v>
      </c>
      <c r="C799" s="4" t="s">
        <v>3</v>
      </c>
      <c r="D799" s="4" t="s">
        <v>57</v>
      </c>
      <c r="E799" s="4" t="s">
        <v>59</v>
      </c>
      <c r="F799" s="4" t="s">
        <v>61</v>
      </c>
      <c r="G799" s="4" t="s">
        <v>60</v>
      </c>
      <c r="H799" s="5" t="s">
        <v>66</v>
      </c>
    </row>
    <row r="800" spans="1:8" ht="31.5">
      <c r="A800" s="28">
        <v>45999</v>
      </c>
      <c r="B800" s="16" t="s">
        <v>75</v>
      </c>
      <c r="C800" s="16" t="s">
        <v>15</v>
      </c>
      <c r="D800" s="16" t="s">
        <v>455</v>
      </c>
      <c r="E800" s="16" t="s">
        <v>41</v>
      </c>
      <c r="F800" s="33" t="s">
        <v>71</v>
      </c>
      <c r="G800" s="17" t="s">
        <v>1005</v>
      </c>
      <c r="H800" s="29"/>
    </row>
    <row r="801" spans="1:8">
      <c r="A801" s="28">
        <v>45999</v>
      </c>
      <c r="B801" s="16" t="s">
        <v>75</v>
      </c>
      <c r="C801" s="16" t="s">
        <v>15</v>
      </c>
      <c r="D801" s="16" t="s">
        <v>524</v>
      </c>
      <c r="E801" s="16" t="s">
        <v>41</v>
      </c>
      <c r="F801" s="33" t="s">
        <v>64</v>
      </c>
      <c r="G801" s="17" t="s">
        <v>1006</v>
      </c>
      <c r="H801" s="29"/>
    </row>
    <row r="802" spans="1:8">
      <c r="A802" s="28">
        <v>45999</v>
      </c>
      <c r="B802" s="16" t="s">
        <v>91</v>
      </c>
      <c r="C802" s="16" t="s">
        <v>693</v>
      </c>
      <c r="D802" s="16" t="s">
        <v>467</v>
      </c>
      <c r="E802" s="16" t="s">
        <v>41</v>
      </c>
      <c r="F802" s="33" t="s">
        <v>77</v>
      </c>
      <c r="G802" s="17" t="s">
        <v>129</v>
      </c>
      <c r="H802" s="29"/>
    </row>
    <row r="803" spans="1:8">
      <c r="A803" s="28">
        <v>45999</v>
      </c>
      <c r="B803" s="16" t="s">
        <v>75</v>
      </c>
      <c r="C803" s="16" t="s">
        <v>15</v>
      </c>
      <c r="D803" s="16" t="s">
        <v>162</v>
      </c>
      <c r="E803" s="16" t="s">
        <v>41</v>
      </c>
      <c r="F803" s="33" t="s">
        <v>77</v>
      </c>
      <c r="G803" s="17" t="s">
        <v>1007</v>
      </c>
      <c r="H803" s="29"/>
    </row>
    <row r="804" spans="1:8">
      <c r="A804" s="28">
        <v>45999</v>
      </c>
      <c r="B804" s="16" t="s">
        <v>75</v>
      </c>
      <c r="C804" s="16" t="s">
        <v>15</v>
      </c>
      <c r="D804" s="16" t="s">
        <v>652</v>
      </c>
      <c r="E804" s="16" t="s">
        <v>41</v>
      </c>
      <c r="F804" s="33" t="s">
        <v>77</v>
      </c>
      <c r="G804" s="17" t="s">
        <v>1008</v>
      </c>
      <c r="H804" s="29"/>
    </row>
    <row r="805" spans="1:8">
      <c r="A805" s="28">
        <v>45999</v>
      </c>
      <c r="B805" s="16" t="s">
        <v>75</v>
      </c>
      <c r="C805" s="16" t="s">
        <v>42</v>
      </c>
      <c r="D805" s="16" t="s">
        <v>980</v>
      </c>
      <c r="E805" s="16" t="s">
        <v>41</v>
      </c>
      <c r="F805" s="33" t="s">
        <v>77</v>
      </c>
      <c r="G805" s="17" t="s">
        <v>1008</v>
      </c>
      <c r="H805" s="29"/>
    </row>
    <row r="806" spans="1:8">
      <c r="A806" s="28">
        <v>45999</v>
      </c>
      <c r="B806" s="16" t="s">
        <v>75</v>
      </c>
      <c r="C806" s="16" t="s">
        <v>111</v>
      </c>
      <c r="D806" s="16" t="s">
        <v>754</v>
      </c>
      <c r="E806" s="16" t="s">
        <v>41</v>
      </c>
      <c r="F806" s="33" t="s">
        <v>77</v>
      </c>
      <c r="G806" s="17" t="s">
        <v>1007</v>
      </c>
      <c r="H806" s="29"/>
    </row>
    <row r="807" spans="1:8">
      <c r="A807" s="28">
        <v>45999</v>
      </c>
      <c r="B807" s="16" t="s">
        <v>76</v>
      </c>
      <c r="C807" s="16" t="s">
        <v>476</v>
      </c>
      <c r="D807" s="16" t="s">
        <v>478</v>
      </c>
      <c r="E807" s="16" t="s">
        <v>41</v>
      </c>
      <c r="F807" s="33" t="s">
        <v>64</v>
      </c>
      <c r="G807" s="17" t="s">
        <v>1013</v>
      </c>
      <c r="H807" s="29"/>
    </row>
    <row r="808" spans="1:8">
      <c r="A808" s="28">
        <v>45999</v>
      </c>
      <c r="B808" s="16" t="s">
        <v>75</v>
      </c>
      <c r="C808" s="16" t="s">
        <v>561</v>
      </c>
      <c r="D808" s="16" t="s">
        <v>565</v>
      </c>
      <c r="E808" s="16" t="s">
        <v>41</v>
      </c>
      <c r="F808" s="33" t="s">
        <v>64</v>
      </c>
      <c r="G808" s="17" t="s">
        <v>1009</v>
      </c>
      <c r="H808" s="29"/>
    </row>
    <row r="809" spans="1:8">
      <c r="A809" s="28">
        <v>45999</v>
      </c>
      <c r="B809" s="16" t="s">
        <v>91</v>
      </c>
      <c r="C809" s="16" t="s">
        <v>693</v>
      </c>
      <c r="D809" s="16" t="s">
        <v>893</v>
      </c>
      <c r="E809" s="16" t="s">
        <v>41</v>
      </c>
      <c r="F809" s="33" t="s">
        <v>64</v>
      </c>
      <c r="G809" s="17" t="s">
        <v>1010</v>
      </c>
      <c r="H809" s="29"/>
    </row>
    <row r="810" spans="1:8">
      <c r="A810" s="28">
        <v>45999</v>
      </c>
      <c r="B810" s="16" t="s">
        <v>76</v>
      </c>
      <c r="C810" s="16" t="s">
        <v>459</v>
      </c>
      <c r="D810" s="16" t="s">
        <v>461</v>
      </c>
      <c r="E810" s="16" t="s">
        <v>41</v>
      </c>
      <c r="F810" s="33" t="s">
        <v>64</v>
      </c>
      <c r="G810" s="17" t="s">
        <v>1012</v>
      </c>
      <c r="H810" s="29"/>
    </row>
    <row r="811" spans="1:8">
      <c r="A811" s="28">
        <v>45999</v>
      </c>
      <c r="B811" s="16" t="s">
        <v>76</v>
      </c>
      <c r="C811" s="16" t="s">
        <v>561</v>
      </c>
      <c r="D811" s="16" t="s">
        <v>1011</v>
      </c>
      <c r="E811" s="16" t="s">
        <v>41</v>
      </c>
      <c r="F811" s="33" t="s">
        <v>77</v>
      </c>
      <c r="G811" s="17" t="s">
        <v>129</v>
      </c>
      <c r="H811" s="29"/>
    </row>
    <row r="812" spans="1:8">
      <c r="A812" s="28">
        <v>45999</v>
      </c>
      <c r="B812" s="16" t="s">
        <v>75</v>
      </c>
      <c r="C812" s="16" t="s">
        <v>15</v>
      </c>
      <c r="D812" s="16" t="s">
        <v>812</v>
      </c>
      <c r="E812" s="16" t="s">
        <v>41</v>
      </c>
      <c r="F812" s="33" t="s">
        <v>64</v>
      </c>
      <c r="G812" s="17" t="s">
        <v>1014</v>
      </c>
      <c r="H812" s="29"/>
    </row>
    <row r="813" spans="1:8">
      <c r="A813" s="28">
        <v>45999</v>
      </c>
      <c r="B813" s="16" t="s">
        <v>75</v>
      </c>
      <c r="C813" s="16" t="s">
        <v>411</v>
      </c>
      <c r="D813" s="16" t="s">
        <v>468</v>
      </c>
      <c r="E813" s="16" t="s">
        <v>41</v>
      </c>
      <c r="F813" s="33" t="s">
        <v>71</v>
      </c>
      <c r="G813" s="17" t="s">
        <v>1015</v>
      </c>
      <c r="H813" s="29"/>
    </row>
    <row r="814" spans="1:8">
      <c r="A814" s="28">
        <v>45999</v>
      </c>
      <c r="B814" s="16" t="s">
        <v>75</v>
      </c>
      <c r="C814" s="16" t="s">
        <v>15</v>
      </c>
      <c r="D814" s="16" t="s">
        <v>640</v>
      </c>
      <c r="E814" s="16" t="s">
        <v>41</v>
      </c>
      <c r="F814" s="33" t="s">
        <v>64</v>
      </c>
      <c r="G814" s="17" t="s">
        <v>1017</v>
      </c>
      <c r="H814" s="29"/>
    </row>
    <row r="815" spans="1:8">
      <c r="A815" s="28">
        <v>46000</v>
      </c>
      <c r="B815" s="16" t="s">
        <v>91</v>
      </c>
      <c r="C815" s="16" t="s">
        <v>759</v>
      </c>
      <c r="D815" s="16" t="s">
        <v>898</v>
      </c>
      <c r="E815" s="16" t="s">
        <v>41</v>
      </c>
      <c r="F815" s="33" t="s">
        <v>71</v>
      </c>
      <c r="G815" s="17" t="s">
        <v>1016</v>
      </c>
      <c r="H815" s="29"/>
    </row>
    <row r="816" spans="1:8">
      <c r="A816" s="28">
        <v>46000</v>
      </c>
      <c r="B816" s="16" t="s">
        <v>75</v>
      </c>
      <c r="C816" s="16" t="s">
        <v>15</v>
      </c>
      <c r="D816" s="16" t="s">
        <v>652</v>
      </c>
      <c r="E816" s="16" t="s">
        <v>41</v>
      </c>
      <c r="F816" s="33" t="s">
        <v>77</v>
      </c>
      <c r="G816" s="17" t="s">
        <v>1008</v>
      </c>
      <c r="H816" s="29"/>
    </row>
    <row r="817" spans="1:8">
      <c r="A817" s="28">
        <v>46000</v>
      </c>
      <c r="B817" s="16" t="s">
        <v>75</v>
      </c>
      <c r="C817" s="16" t="s">
        <v>42</v>
      </c>
      <c r="D817" s="16" t="s">
        <v>980</v>
      </c>
      <c r="E817" s="16" t="s">
        <v>41</v>
      </c>
      <c r="F817" s="33" t="s">
        <v>77</v>
      </c>
      <c r="G817" s="17" t="s">
        <v>129</v>
      </c>
      <c r="H817" s="29"/>
    </row>
    <row r="818" spans="1:8">
      <c r="A818" s="28">
        <v>46000</v>
      </c>
      <c r="B818" s="16" t="s">
        <v>91</v>
      </c>
      <c r="C818" s="16" t="s">
        <v>759</v>
      </c>
      <c r="D818" s="16" t="s">
        <v>1018</v>
      </c>
      <c r="E818" s="16" t="s">
        <v>41</v>
      </c>
      <c r="F818" s="33" t="s">
        <v>64</v>
      </c>
      <c r="G818" s="17" t="s">
        <v>1019</v>
      </c>
      <c r="H818" s="29"/>
    </row>
    <row r="819" spans="1:8">
      <c r="A819" s="28">
        <v>46000</v>
      </c>
      <c r="B819" s="16" t="s">
        <v>75</v>
      </c>
      <c r="C819" s="16" t="s">
        <v>55</v>
      </c>
      <c r="D819" s="16" t="s">
        <v>1020</v>
      </c>
      <c r="E819" s="16" t="s">
        <v>41</v>
      </c>
      <c r="F819" s="33" t="s">
        <v>64</v>
      </c>
      <c r="G819" s="17" t="s">
        <v>1021</v>
      </c>
      <c r="H819" s="29"/>
    </row>
    <row r="820" spans="1:8" ht="47.25">
      <c r="A820" s="28">
        <v>46000</v>
      </c>
      <c r="B820" s="16" t="s">
        <v>91</v>
      </c>
      <c r="C820" s="16" t="s">
        <v>111</v>
      </c>
      <c r="D820" s="16" t="s">
        <v>754</v>
      </c>
      <c r="E820" s="16" t="s">
        <v>41</v>
      </c>
      <c r="F820" s="33" t="s">
        <v>71</v>
      </c>
      <c r="G820" s="17" t="s">
        <v>1022</v>
      </c>
      <c r="H820" s="29"/>
    </row>
    <row r="821" spans="1:8">
      <c r="A821" s="28">
        <v>46000</v>
      </c>
      <c r="B821" s="16" t="s">
        <v>91</v>
      </c>
      <c r="C821" s="16" t="s">
        <v>344</v>
      </c>
      <c r="D821" s="16" t="s">
        <v>686</v>
      </c>
      <c r="E821" s="16" t="s">
        <v>41</v>
      </c>
      <c r="F821" s="33" t="s">
        <v>77</v>
      </c>
      <c r="G821" s="17" t="s">
        <v>129</v>
      </c>
      <c r="H821" s="29"/>
    </row>
    <row r="822" spans="1:8" ht="31.5">
      <c r="A822" s="28">
        <v>46000</v>
      </c>
      <c r="B822" s="16" t="s">
        <v>75</v>
      </c>
      <c r="C822" s="16" t="s">
        <v>15</v>
      </c>
      <c r="D822" s="16" t="s">
        <v>987</v>
      </c>
      <c r="E822" s="16" t="s">
        <v>41</v>
      </c>
      <c r="F822" s="33" t="s">
        <v>71</v>
      </c>
      <c r="G822" s="17" t="s">
        <v>1023</v>
      </c>
      <c r="H822" s="29"/>
    </row>
    <row r="823" spans="1:8" ht="47.25">
      <c r="A823" s="28">
        <v>46000</v>
      </c>
      <c r="B823" s="16" t="s">
        <v>939</v>
      </c>
      <c r="C823" s="16" t="s">
        <v>15</v>
      </c>
      <c r="D823" s="16" t="s">
        <v>1024</v>
      </c>
      <c r="E823" s="16" t="s">
        <v>62</v>
      </c>
      <c r="F823" s="33" t="s">
        <v>71</v>
      </c>
      <c r="G823" s="17" t="s">
        <v>1025</v>
      </c>
      <c r="H823" s="29"/>
    </row>
    <row r="824" spans="1:8">
      <c r="A824" s="28">
        <v>46000</v>
      </c>
      <c r="B824" s="16" t="s">
        <v>939</v>
      </c>
      <c r="C824" s="16" t="s">
        <v>15</v>
      </c>
      <c r="D824" s="16" t="s">
        <v>640</v>
      </c>
      <c r="E824" s="16" t="s">
        <v>62</v>
      </c>
      <c r="F824" s="33" t="s">
        <v>71</v>
      </c>
      <c r="G824" s="17" t="s">
        <v>1034</v>
      </c>
      <c r="H824" s="29"/>
    </row>
    <row r="825" spans="1:8">
      <c r="A825" s="28">
        <v>46001</v>
      </c>
      <c r="B825" s="16" t="s">
        <v>91</v>
      </c>
      <c r="C825" s="16" t="s">
        <v>1026</v>
      </c>
      <c r="D825" s="16" t="s">
        <v>1027</v>
      </c>
      <c r="E825" s="16" t="s">
        <v>63</v>
      </c>
      <c r="F825" s="33" t="s">
        <v>69</v>
      </c>
      <c r="G825" s="17" t="s">
        <v>1028</v>
      </c>
      <c r="H825" s="29"/>
    </row>
    <row r="826" spans="1:8" ht="31.5">
      <c r="A826" s="28">
        <v>46001</v>
      </c>
      <c r="B826" s="16" t="s">
        <v>91</v>
      </c>
      <c r="C826" s="16" t="s">
        <v>1026</v>
      </c>
      <c r="D826" s="16" t="s">
        <v>1029</v>
      </c>
      <c r="E826" s="16" t="s">
        <v>63</v>
      </c>
      <c r="F826" s="33" t="s">
        <v>71</v>
      </c>
      <c r="G826" s="17" t="s">
        <v>1035</v>
      </c>
      <c r="H826" s="29"/>
    </row>
    <row r="827" spans="1:8" ht="31.5">
      <c r="A827" s="28">
        <v>46001</v>
      </c>
      <c r="B827" s="16" t="s">
        <v>75</v>
      </c>
      <c r="C827" s="16" t="s">
        <v>55</v>
      </c>
      <c r="D827" s="16" t="s">
        <v>1020</v>
      </c>
      <c r="E827" s="16" t="s">
        <v>62</v>
      </c>
      <c r="F827" s="33" t="s">
        <v>77</v>
      </c>
      <c r="G827" s="17" t="s">
        <v>1036</v>
      </c>
      <c r="H827" s="29"/>
    </row>
    <row r="828" spans="1:8" ht="31.5">
      <c r="A828" s="28">
        <v>46001</v>
      </c>
      <c r="B828" s="16" t="s">
        <v>75</v>
      </c>
      <c r="C828" s="16" t="s">
        <v>15</v>
      </c>
      <c r="D828" s="16" t="s">
        <v>196</v>
      </c>
      <c r="E828" s="16" t="s">
        <v>63</v>
      </c>
      <c r="F828" s="33" t="s">
        <v>71</v>
      </c>
      <c r="G828" s="17" t="s">
        <v>1037</v>
      </c>
      <c r="H828" s="29"/>
    </row>
    <row r="829" spans="1:8" ht="31.5">
      <c r="A829" s="28">
        <v>46002</v>
      </c>
      <c r="B829" s="16" t="s">
        <v>75</v>
      </c>
      <c r="C829" s="16" t="s">
        <v>15</v>
      </c>
      <c r="D829" s="16" t="s">
        <v>640</v>
      </c>
      <c r="E829" s="16" t="s">
        <v>63</v>
      </c>
      <c r="F829" s="33" t="s">
        <v>69</v>
      </c>
      <c r="G829" s="17" t="s">
        <v>1038</v>
      </c>
      <c r="H829" s="29"/>
    </row>
    <row r="830" spans="1:8">
      <c r="A830" s="28">
        <v>46002</v>
      </c>
      <c r="B830" s="16" t="s">
        <v>76</v>
      </c>
      <c r="C830" s="16" t="s">
        <v>476</v>
      </c>
      <c r="D830" s="16" t="s">
        <v>478</v>
      </c>
      <c r="E830" s="16" t="s">
        <v>62</v>
      </c>
      <c r="F830" s="33" t="s">
        <v>71</v>
      </c>
      <c r="G830" s="17" t="s">
        <v>1039</v>
      </c>
      <c r="H830" s="29"/>
    </row>
    <row r="831" spans="1:8" ht="31.5">
      <c r="A831" s="28">
        <v>46002</v>
      </c>
      <c r="B831" s="16" t="s">
        <v>75</v>
      </c>
      <c r="C831" s="16" t="s">
        <v>561</v>
      </c>
      <c r="D831" s="16" t="s">
        <v>565</v>
      </c>
      <c r="E831" s="16" t="s">
        <v>62</v>
      </c>
      <c r="F831" s="33" t="s">
        <v>71</v>
      </c>
      <c r="G831" s="17" t="s">
        <v>1040</v>
      </c>
      <c r="H831" s="29"/>
    </row>
    <row r="832" spans="1:8">
      <c r="A832" s="28">
        <v>46002</v>
      </c>
      <c r="B832" s="16" t="s">
        <v>75</v>
      </c>
      <c r="C832" s="16" t="s">
        <v>561</v>
      </c>
      <c r="D832" s="16" t="s">
        <v>1030</v>
      </c>
      <c r="E832" s="16" t="s">
        <v>62</v>
      </c>
      <c r="F832" s="33" t="s">
        <v>71</v>
      </c>
      <c r="G832" s="17" t="s">
        <v>1041</v>
      </c>
      <c r="H832" s="29"/>
    </row>
    <row r="833" spans="1:8">
      <c r="A833" s="28">
        <v>46002</v>
      </c>
      <c r="B833" s="16" t="s">
        <v>939</v>
      </c>
      <c r="C833" s="16" t="s">
        <v>15</v>
      </c>
      <c r="D833" s="16" t="s">
        <v>196</v>
      </c>
      <c r="E833" s="16" t="s">
        <v>63</v>
      </c>
      <c r="F833" s="33" t="s">
        <v>69</v>
      </c>
      <c r="G833" s="17" t="s">
        <v>1042</v>
      </c>
      <c r="H833" s="29"/>
    </row>
    <row r="834" spans="1:8">
      <c r="A834" s="28">
        <v>46002</v>
      </c>
      <c r="B834" s="16" t="s">
        <v>91</v>
      </c>
      <c r="C834" s="16" t="s">
        <v>1026</v>
      </c>
      <c r="D834" s="16" t="s">
        <v>1029</v>
      </c>
      <c r="E834" s="16" t="s">
        <v>63</v>
      </c>
      <c r="F834" s="33" t="s">
        <v>69</v>
      </c>
      <c r="G834" s="17" t="s">
        <v>1043</v>
      </c>
      <c r="H834" s="29"/>
    </row>
    <row r="835" spans="1:8">
      <c r="A835" s="28">
        <v>46002</v>
      </c>
      <c r="B835" s="16" t="s">
        <v>939</v>
      </c>
      <c r="C835" s="16" t="s">
        <v>15</v>
      </c>
      <c r="D835" s="16" t="s">
        <v>177</v>
      </c>
      <c r="E835" s="16" t="s">
        <v>63</v>
      </c>
      <c r="F835" s="33" t="s">
        <v>71</v>
      </c>
      <c r="G835" s="17" t="s">
        <v>1044</v>
      </c>
      <c r="H835" s="29"/>
    </row>
    <row r="836" spans="1:8" ht="63">
      <c r="A836" s="28">
        <v>46002</v>
      </c>
      <c r="B836" s="16" t="s">
        <v>939</v>
      </c>
      <c r="C836" s="16" t="s">
        <v>15</v>
      </c>
      <c r="D836" s="16" t="s">
        <v>1031</v>
      </c>
      <c r="E836" s="16" t="s">
        <v>63</v>
      </c>
      <c r="F836" s="33" t="s">
        <v>71</v>
      </c>
      <c r="G836" s="17" t="s">
        <v>1045</v>
      </c>
      <c r="H836" s="29"/>
    </row>
    <row r="837" spans="1:8">
      <c r="A837" s="28">
        <v>46002</v>
      </c>
      <c r="B837" s="16" t="s">
        <v>939</v>
      </c>
      <c r="C837" s="16" t="s">
        <v>15</v>
      </c>
      <c r="D837" s="16" t="s">
        <v>940</v>
      </c>
      <c r="E837" s="16" t="s">
        <v>63</v>
      </c>
      <c r="F837" s="33" t="s">
        <v>69</v>
      </c>
      <c r="G837" s="17" t="s">
        <v>129</v>
      </c>
      <c r="H837" s="29"/>
    </row>
    <row r="838" spans="1:8">
      <c r="A838" s="28">
        <v>46003</v>
      </c>
      <c r="B838" s="16" t="s">
        <v>91</v>
      </c>
      <c r="C838" s="16" t="s">
        <v>759</v>
      </c>
      <c r="D838" s="16" t="s">
        <v>1032</v>
      </c>
      <c r="E838" s="16" t="s">
        <v>63</v>
      </c>
      <c r="F838" s="33" t="s">
        <v>69</v>
      </c>
      <c r="G838" s="17" t="s">
        <v>129</v>
      </c>
      <c r="H838" s="29"/>
    </row>
    <row r="839" spans="1:8">
      <c r="A839" s="28">
        <v>46003</v>
      </c>
      <c r="B839" s="16" t="s">
        <v>91</v>
      </c>
      <c r="C839" s="16" t="s">
        <v>344</v>
      </c>
      <c r="D839" s="16" t="s">
        <v>686</v>
      </c>
      <c r="E839" s="16" t="s">
        <v>63</v>
      </c>
      <c r="F839" s="33" t="s">
        <v>65</v>
      </c>
      <c r="G839" s="17" t="s">
        <v>1046</v>
      </c>
      <c r="H839" s="29"/>
    </row>
    <row r="840" spans="1:8">
      <c r="A840" s="28">
        <v>46003</v>
      </c>
      <c r="B840" s="16" t="s">
        <v>939</v>
      </c>
      <c r="C840" s="16" t="s">
        <v>42</v>
      </c>
      <c r="D840" s="16" t="s">
        <v>980</v>
      </c>
      <c r="E840" s="16" t="s">
        <v>63</v>
      </c>
      <c r="F840" s="33" t="s">
        <v>69</v>
      </c>
      <c r="G840" s="17" t="s">
        <v>1047</v>
      </c>
      <c r="H840" s="29"/>
    </row>
    <row r="841" spans="1:8">
      <c r="A841" s="28">
        <v>46003</v>
      </c>
      <c r="B841" s="16" t="s">
        <v>939</v>
      </c>
      <c r="C841" s="16" t="s">
        <v>111</v>
      </c>
      <c r="D841" s="16" t="s">
        <v>754</v>
      </c>
      <c r="E841" s="16" t="s">
        <v>63</v>
      </c>
      <c r="F841" s="33" t="s">
        <v>65</v>
      </c>
      <c r="G841" s="17" t="s">
        <v>1048</v>
      </c>
      <c r="H841" s="29"/>
    </row>
    <row r="842" spans="1:8">
      <c r="A842" s="28">
        <v>46003</v>
      </c>
      <c r="B842" s="16" t="s">
        <v>91</v>
      </c>
      <c r="C842" s="16" t="s">
        <v>759</v>
      </c>
      <c r="D842" s="16" t="s">
        <v>1018</v>
      </c>
      <c r="E842" s="16" t="s">
        <v>62</v>
      </c>
      <c r="F842" s="33" t="s">
        <v>71</v>
      </c>
      <c r="G842" s="17" t="s">
        <v>1050</v>
      </c>
      <c r="H842" s="29"/>
    </row>
    <row r="843" spans="1:8">
      <c r="A843" s="28">
        <v>46003</v>
      </c>
      <c r="B843" s="16" t="s">
        <v>91</v>
      </c>
      <c r="C843" s="16" t="s">
        <v>759</v>
      </c>
      <c r="D843" s="16" t="s">
        <v>1033</v>
      </c>
      <c r="E843" s="16" t="s">
        <v>62</v>
      </c>
      <c r="F843" s="33" t="s">
        <v>71</v>
      </c>
      <c r="G843" s="17" t="s">
        <v>1051</v>
      </c>
      <c r="H843" s="29"/>
    </row>
    <row r="844" spans="1:8" ht="31.5">
      <c r="A844" s="28">
        <v>46003</v>
      </c>
      <c r="B844" s="16" t="s">
        <v>91</v>
      </c>
      <c r="C844" s="16" t="s">
        <v>693</v>
      </c>
      <c r="D844" s="16" t="s">
        <v>893</v>
      </c>
      <c r="E844" s="16" t="s">
        <v>62</v>
      </c>
      <c r="F844" s="33" t="s">
        <v>71</v>
      </c>
      <c r="G844" s="17" t="s">
        <v>1052</v>
      </c>
      <c r="H844" s="29"/>
    </row>
    <row r="845" spans="1:8" ht="47.25">
      <c r="A845" s="28">
        <v>46003</v>
      </c>
      <c r="B845" s="16" t="s">
        <v>939</v>
      </c>
      <c r="C845" s="16" t="s">
        <v>15</v>
      </c>
      <c r="D845" s="16" t="s">
        <v>1031</v>
      </c>
      <c r="E845" s="16" t="s">
        <v>62</v>
      </c>
      <c r="F845" s="33" t="s">
        <v>69</v>
      </c>
      <c r="G845" s="17" t="s">
        <v>1049</v>
      </c>
      <c r="H845" s="29"/>
    </row>
    <row r="846" spans="1:8">
      <c r="A846" s="28">
        <v>46003</v>
      </c>
      <c r="B846" s="16" t="s">
        <v>939</v>
      </c>
      <c r="C846" s="16" t="s">
        <v>74</v>
      </c>
      <c r="D846" s="16" t="s">
        <v>174</v>
      </c>
      <c r="E846" s="16" t="s">
        <v>63</v>
      </c>
      <c r="F846" s="33" t="s">
        <v>69</v>
      </c>
      <c r="G846" s="17" t="s">
        <v>129</v>
      </c>
      <c r="H846" s="29"/>
    </row>
    <row r="847" spans="1:8">
      <c r="A847" s="28">
        <v>46003</v>
      </c>
      <c r="B847" s="16" t="s">
        <v>939</v>
      </c>
      <c r="C847" s="16" t="s">
        <v>25</v>
      </c>
      <c r="D847" s="16" t="s">
        <v>164</v>
      </c>
      <c r="E847" s="16" t="s">
        <v>63</v>
      </c>
      <c r="F847" s="33" t="s">
        <v>69</v>
      </c>
      <c r="G847" s="17" t="s">
        <v>129</v>
      </c>
      <c r="H847" s="29"/>
    </row>
    <row r="848" spans="1:8">
      <c r="A848" s="28">
        <v>46003</v>
      </c>
      <c r="B848" s="16" t="s">
        <v>939</v>
      </c>
      <c r="C848" s="24" t="s">
        <v>25</v>
      </c>
      <c r="D848" s="24" t="s">
        <v>497</v>
      </c>
      <c r="E848" s="16" t="s">
        <v>63</v>
      </c>
      <c r="F848" s="33" t="s">
        <v>69</v>
      </c>
      <c r="G848" s="17" t="s">
        <v>129</v>
      </c>
      <c r="H848" s="39"/>
    </row>
    <row r="849" spans="1:8">
      <c r="A849" s="28">
        <v>46003</v>
      </c>
      <c r="B849" s="16" t="s">
        <v>939</v>
      </c>
      <c r="C849" s="16" t="s">
        <v>15</v>
      </c>
      <c r="D849" s="24" t="s">
        <v>652</v>
      </c>
      <c r="E849" s="16" t="s">
        <v>63</v>
      </c>
      <c r="F849" s="33" t="s">
        <v>69</v>
      </c>
      <c r="G849" s="17" t="s">
        <v>129</v>
      </c>
      <c r="H849" s="39"/>
    </row>
    <row r="850" spans="1:8" ht="16.5" thickBot="1">
      <c r="A850" s="31"/>
      <c r="B850" s="20"/>
      <c r="C850" s="20"/>
      <c r="D850" s="20"/>
      <c r="E850" s="20"/>
      <c r="F850" s="20"/>
      <c r="G850" s="20"/>
      <c r="H850" s="30"/>
    </row>
    <row r="851" spans="1:8" ht="16.5" thickBot="1"/>
    <row r="852" spans="1:8">
      <c r="A852" s="3" t="s">
        <v>70</v>
      </c>
      <c r="B852" s="4" t="s">
        <v>72</v>
      </c>
      <c r="C852" s="4" t="s">
        <v>16</v>
      </c>
      <c r="D852" s="34" t="s">
        <v>155</v>
      </c>
      <c r="E852" s="9" t="s">
        <v>156</v>
      </c>
      <c r="F852" s="10" t="s">
        <v>157</v>
      </c>
    </row>
    <row r="853" spans="1:8">
      <c r="A853" s="122" t="s">
        <v>63</v>
      </c>
      <c r="B853" s="16" t="s">
        <v>68</v>
      </c>
      <c r="C853" s="16">
        <v>9</v>
      </c>
      <c r="D853" s="16">
        <v>9</v>
      </c>
      <c r="E853" s="123">
        <f>D853+D855+D857</f>
        <v>12.666666666666666</v>
      </c>
      <c r="F853" s="124">
        <f>E853/12</f>
        <v>1.0555555555555556</v>
      </c>
    </row>
    <row r="854" spans="1:8">
      <c r="A854" s="122"/>
      <c r="B854" s="125" t="s">
        <v>65</v>
      </c>
      <c r="C854" s="125">
        <v>11</v>
      </c>
      <c r="D854" s="35" t="s">
        <v>158</v>
      </c>
      <c r="E854" s="123"/>
      <c r="F854" s="124"/>
    </row>
    <row r="855" spans="1:8">
      <c r="A855" s="122"/>
      <c r="B855" s="125"/>
      <c r="C855" s="125"/>
      <c r="D855" s="16">
        <f>C854/3</f>
        <v>3.6666666666666665</v>
      </c>
      <c r="E855" s="123"/>
      <c r="F855" s="124"/>
    </row>
    <row r="856" spans="1:8">
      <c r="A856" s="122"/>
      <c r="B856" s="125" t="s">
        <v>69</v>
      </c>
      <c r="C856" s="125">
        <v>20</v>
      </c>
      <c r="D856" s="35" t="s">
        <v>159</v>
      </c>
      <c r="E856" s="123"/>
      <c r="F856" s="124"/>
    </row>
    <row r="857" spans="1:8">
      <c r="A857" s="122"/>
      <c r="B857" s="125"/>
      <c r="C857" s="125"/>
      <c r="D857" s="16">
        <v>0</v>
      </c>
      <c r="E857" s="123"/>
      <c r="F857" s="124"/>
    </row>
    <row r="858" spans="1:8">
      <c r="A858" s="36" t="s">
        <v>70</v>
      </c>
      <c r="B858" s="37" t="s">
        <v>72</v>
      </c>
      <c r="C858" s="37"/>
      <c r="D858" s="126" t="s">
        <v>160</v>
      </c>
      <c r="E858" s="126"/>
      <c r="F858" s="127"/>
    </row>
    <row r="859" spans="1:8">
      <c r="A859" s="122" t="s">
        <v>62</v>
      </c>
      <c r="B859" s="16" t="s">
        <v>68</v>
      </c>
      <c r="C859" s="16">
        <v>8</v>
      </c>
      <c r="D859" s="129">
        <f>C859/9</f>
        <v>0.88888888888888884</v>
      </c>
      <c r="E859" s="129"/>
      <c r="F859" s="124"/>
    </row>
    <row r="860" spans="1:8" ht="16.5" thickBot="1">
      <c r="A860" s="128"/>
      <c r="B860" s="20" t="s">
        <v>69</v>
      </c>
      <c r="C860" s="20">
        <v>2</v>
      </c>
      <c r="D860" s="130"/>
      <c r="E860" s="130"/>
      <c r="F860" s="131"/>
    </row>
    <row r="862" spans="1:8" ht="16.5" thickBot="1">
      <c r="A862" s="14" t="s">
        <v>910</v>
      </c>
    </row>
    <row r="863" spans="1:8">
      <c r="A863" s="3" t="s">
        <v>58</v>
      </c>
      <c r="B863" s="4" t="s">
        <v>67</v>
      </c>
      <c r="C863" s="4" t="s">
        <v>3</v>
      </c>
      <c r="D863" s="4" t="s">
        <v>57</v>
      </c>
      <c r="E863" s="4" t="s">
        <v>59</v>
      </c>
      <c r="F863" s="4" t="s">
        <v>61</v>
      </c>
      <c r="G863" s="4" t="s">
        <v>60</v>
      </c>
      <c r="H863" s="5" t="s">
        <v>66</v>
      </c>
    </row>
    <row r="864" spans="1:8">
      <c r="A864" s="28">
        <v>46007</v>
      </c>
      <c r="B864" s="16" t="s">
        <v>75</v>
      </c>
      <c r="C864" s="16" t="s">
        <v>295</v>
      </c>
      <c r="D864" s="16" t="s">
        <v>296</v>
      </c>
      <c r="E864" s="16" t="s">
        <v>63</v>
      </c>
      <c r="F864" s="33" t="s">
        <v>71</v>
      </c>
      <c r="G864" s="17" t="s">
        <v>1061</v>
      </c>
      <c r="H864" s="29"/>
    </row>
    <row r="865" spans="1:8">
      <c r="A865" s="28">
        <v>46007</v>
      </c>
      <c r="B865" s="16" t="s">
        <v>76</v>
      </c>
      <c r="C865" s="16" t="s">
        <v>15</v>
      </c>
      <c r="D865" s="16" t="s">
        <v>499</v>
      </c>
      <c r="E865" s="16" t="s">
        <v>62</v>
      </c>
      <c r="F865" s="33" t="s">
        <v>77</v>
      </c>
      <c r="G865" s="17" t="s">
        <v>1062</v>
      </c>
      <c r="H865" s="29"/>
    </row>
    <row r="866" spans="1:8" ht="78.75">
      <c r="A866" s="28">
        <v>46007</v>
      </c>
      <c r="B866" s="16" t="s">
        <v>75</v>
      </c>
      <c r="C866" s="16" t="s">
        <v>15</v>
      </c>
      <c r="D866" s="16" t="s">
        <v>145</v>
      </c>
      <c r="E866" s="16" t="s">
        <v>62</v>
      </c>
      <c r="F866" s="33" t="s">
        <v>71</v>
      </c>
      <c r="G866" s="17" t="s">
        <v>1064</v>
      </c>
      <c r="H866" s="29"/>
    </row>
    <row r="867" spans="1:8">
      <c r="A867" s="28">
        <v>46007</v>
      </c>
      <c r="B867" s="16" t="s">
        <v>75</v>
      </c>
      <c r="C867" s="16" t="s">
        <v>15</v>
      </c>
      <c r="D867" s="16" t="s">
        <v>1055</v>
      </c>
      <c r="E867" s="16" t="s">
        <v>62</v>
      </c>
      <c r="F867" s="33" t="s">
        <v>71</v>
      </c>
      <c r="G867" s="17" t="s">
        <v>1063</v>
      </c>
      <c r="H867" s="29"/>
    </row>
    <row r="868" spans="1:8">
      <c r="A868" s="28">
        <v>46007</v>
      </c>
      <c r="B868" s="16" t="s">
        <v>75</v>
      </c>
      <c r="C868" s="16" t="s">
        <v>111</v>
      </c>
      <c r="D868" s="16" t="s">
        <v>754</v>
      </c>
      <c r="E868" s="16" t="s">
        <v>62</v>
      </c>
      <c r="F868" s="33" t="s">
        <v>71</v>
      </c>
      <c r="G868" s="17" t="s">
        <v>1065</v>
      </c>
      <c r="H868" s="29"/>
    </row>
    <row r="869" spans="1:8">
      <c r="A869" s="28">
        <v>46007</v>
      </c>
      <c r="B869" s="16" t="s">
        <v>75</v>
      </c>
      <c r="C869" s="16" t="s">
        <v>15</v>
      </c>
      <c r="D869" s="16" t="s">
        <v>897</v>
      </c>
      <c r="E869" s="16" t="s">
        <v>63</v>
      </c>
      <c r="F869" s="33" t="s">
        <v>71</v>
      </c>
      <c r="G869" s="17" t="s">
        <v>1066</v>
      </c>
      <c r="H869" s="29"/>
    </row>
    <row r="870" spans="1:8">
      <c r="A870" s="28">
        <v>46008</v>
      </c>
      <c r="B870" s="16" t="s">
        <v>91</v>
      </c>
      <c r="C870" s="16" t="s">
        <v>344</v>
      </c>
      <c r="D870" s="16" t="s">
        <v>686</v>
      </c>
      <c r="E870" s="16" t="s">
        <v>62</v>
      </c>
      <c r="F870" s="33" t="s">
        <v>71</v>
      </c>
      <c r="G870" s="17" t="s">
        <v>1067</v>
      </c>
      <c r="H870" s="29"/>
    </row>
    <row r="871" spans="1:8">
      <c r="A871" s="28">
        <v>46008</v>
      </c>
      <c r="B871" s="16" t="s">
        <v>76</v>
      </c>
      <c r="C871" s="16" t="s">
        <v>411</v>
      </c>
      <c r="D871" s="16" t="s">
        <v>468</v>
      </c>
      <c r="E871" s="16" t="s">
        <v>62</v>
      </c>
      <c r="F871" s="33" t="s">
        <v>77</v>
      </c>
      <c r="G871" s="17" t="s">
        <v>1068</v>
      </c>
      <c r="H871" s="29"/>
    </row>
    <row r="872" spans="1:8">
      <c r="A872" s="28">
        <v>46009</v>
      </c>
      <c r="B872" s="16" t="s">
        <v>75</v>
      </c>
      <c r="C872" s="16" t="s">
        <v>15</v>
      </c>
      <c r="D872" s="16" t="s">
        <v>1031</v>
      </c>
      <c r="E872" s="16" t="s">
        <v>63</v>
      </c>
      <c r="F872" s="33" t="s">
        <v>64</v>
      </c>
      <c r="G872" s="17" t="s">
        <v>1070</v>
      </c>
      <c r="H872" s="29"/>
    </row>
    <row r="873" spans="1:8" ht="31.5">
      <c r="A873" s="28">
        <v>46009</v>
      </c>
      <c r="B873" s="16" t="s">
        <v>75</v>
      </c>
      <c r="C873" s="16" t="s">
        <v>15</v>
      </c>
      <c r="D873" s="16" t="s">
        <v>1031</v>
      </c>
      <c r="E873" s="16" t="s">
        <v>62</v>
      </c>
      <c r="F873" s="33" t="s">
        <v>71</v>
      </c>
      <c r="G873" s="17" t="s">
        <v>1071</v>
      </c>
      <c r="H873" s="29"/>
    </row>
    <row r="874" spans="1:8">
      <c r="A874" s="28">
        <v>46009</v>
      </c>
      <c r="B874" s="16" t="s">
        <v>197</v>
      </c>
      <c r="C874" s="16" t="s">
        <v>15</v>
      </c>
      <c r="D874" s="16" t="s">
        <v>734</v>
      </c>
      <c r="E874" s="16" t="s">
        <v>63</v>
      </c>
      <c r="F874" s="33" t="s">
        <v>71</v>
      </c>
      <c r="G874" s="17" t="s">
        <v>1072</v>
      </c>
      <c r="H874" s="29"/>
    </row>
    <row r="875" spans="1:8" ht="31.5">
      <c r="A875" s="28">
        <v>46009</v>
      </c>
      <c r="B875" s="16" t="s">
        <v>75</v>
      </c>
      <c r="C875" s="16" t="s">
        <v>15</v>
      </c>
      <c r="D875" s="16" t="s">
        <v>1056</v>
      </c>
      <c r="E875" s="16" t="s">
        <v>63</v>
      </c>
      <c r="F875" s="33" t="s">
        <v>71</v>
      </c>
      <c r="G875" s="17" t="s">
        <v>1073</v>
      </c>
      <c r="H875" s="29"/>
    </row>
    <row r="876" spans="1:8">
      <c r="A876" s="28">
        <v>46010</v>
      </c>
      <c r="B876" s="16" t="s">
        <v>197</v>
      </c>
      <c r="C876" s="16" t="s">
        <v>15</v>
      </c>
      <c r="D876" s="16" t="s">
        <v>492</v>
      </c>
      <c r="E876" s="16" t="s">
        <v>63</v>
      </c>
      <c r="F876" s="33" t="s">
        <v>71</v>
      </c>
      <c r="G876" s="17" t="s">
        <v>1069</v>
      </c>
      <c r="H876" s="29"/>
    </row>
    <row r="877" spans="1:8" ht="16.5" thickBot="1">
      <c r="A877" s="31"/>
      <c r="B877" s="20"/>
      <c r="C877" s="20"/>
      <c r="D877" s="20"/>
      <c r="E877" s="20"/>
      <c r="F877" s="20"/>
      <c r="G877" s="20"/>
      <c r="H877" s="30"/>
    </row>
    <row r="878" spans="1:8" ht="16.5" thickBot="1"/>
    <row r="879" spans="1:8">
      <c r="A879" s="3" t="s">
        <v>70</v>
      </c>
      <c r="B879" s="4" t="s">
        <v>72</v>
      </c>
      <c r="C879" s="4" t="s">
        <v>16</v>
      </c>
      <c r="D879" s="34" t="s">
        <v>155</v>
      </c>
      <c r="E879" s="9" t="s">
        <v>156</v>
      </c>
      <c r="F879" s="10" t="s">
        <v>157</v>
      </c>
    </row>
    <row r="880" spans="1:8">
      <c r="A880" s="122" t="s">
        <v>63</v>
      </c>
      <c r="B880" s="16" t="s">
        <v>68</v>
      </c>
      <c r="C880" s="16"/>
      <c r="D880" s="16"/>
      <c r="E880" s="123">
        <f>D880+D882+D884</f>
        <v>0</v>
      </c>
      <c r="F880" s="124">
        <f>E880/12</f>
        <v>0</v>
      </c>
    </row>
    <row r="881" spans="1:8">
      <c r="A881" s="122"/>
      <c r="B881" s="125" t="s">
        <v>65</v>
      </c>
      <c r="C881" s="125"/>
      <c r="D881" s="35" t="s">
        <v>158</v>
      </c>
      <c r="E881" s="123"/>
      <c r="F881" s="124"/>
    </row>
    <row r="882" spans="1:8">
      <c r="A882" s="122"/>
      <c r="B882" s="125"/>
      <c r="C882" s="125"/>
      <c r="D882" s="16">
        <f>C881/3</f>
        <v>0</v>
      </c>
      <c r="E882" s="123"/>
      <c r="F882" s="124"/>
    </row>
    <row r="883" spans="1:8">
      <c r="A883" s="122"/>
      <c r="B883" s="125" t="s">
        <v>69</v>
      </c>
      <c r="C883" s="125"/>
      <c r="D883" s="35" t="s">
        <v>159</v>
      </c>
      <c r="E883" s="123"/>
      <c r="F883" s="124"/>
    </row>
    <row r="884" spans="1:8">
      <c r="A884" s="122"/>
      <c r="B884" s="125"/>
      <c r="C884" s="125"/>
      <c r="D884" s="16">
        <v>0</v>
      </c>
      <c r="E884" s="123"/>
      <c r="F884" s="124"/>
    </row>
    <row r="885" spans="1:8">
      <c r="A885" s="36" t="s">
        <v>70</v>
      </c>
      <c r="B885" s="37" t="s">
        <v>72</v>
      </c>
      <c r="C885" s="37"/>
      <c r="D885" s="126" t="s">
        <v>160</v>
      </c>
      <c r="E885" s="126"/>
      <c r="F885" s="127"/>
    </row>
    <row r="886" spans="1:8">
      <c r="A886" s="122" t="s">
        <v>62</v>
      </c>
      <c r="B886" s="16" t="s">
        <v>68</v>
      </c>
      <c r="C886" s="16"/>
      <c r="D886" s="129">
        <f>C886/9</f>
        <v>0</v>
      </c>
      <c r="E886" s="129"/>
      <c r="F886" s="124"/>
    </row>
    <row r="887" spans="1:8" ht="16.5" thickBot="1">
      <c r="A887" s="128"/>
      <c r="B887" s="20" t="s">
        <v>69</v>
      </c>
      <c r="C887" s="20"/>
      <c r="D887" s="130"/>
      <c r="E887" s="130"/>
      <c r="F887" s="131"/>
    </row>
    <row r="889" spans="1:8" ht="16.5" thickBot="1">
      <c r="A889" s="14" t="s">
        <v>929</v>
      </c>
    </row>
    <row r="890" spans="1:8">
      <c r="A890" s="3" t="s">
        <v>58</v>
      </c>
      <c r="B890" s="4" t="s">
        <v>67</v>
      </c>
      <c r="C890" s="4" t="s">
        <v>3</v>
      </c>
      <c r="D890" s="4" t="s">
        <v>57</v>
      </c>
      <c r="E890" s="4" t="s">
        <v>59</v>
      </c>
      <c r="F890" s="4" t="s">
        <v>61</v>
      </c>
      <c r="G890" s="4" t="s">
        <v>60</v>
      </c>
      <c r="H890" s="5" t="s">
        <v>66</v>
      </c>
    </row>
    <row r="891" spans="1:8">
      <c r="A891" s="28">
        <v>46013</v>
      </c>
      <c r="B891" s="16"/>
      <c r="C891" s="16" t="s">
        <v>15</v>
      </c>
      <c r="D891" s="16" t="s">
        <v>1056</v>
      </c>
      <c r="E891" s="16" t="s">
        <v>41</v>
      </c>
      <c r="F891" s="33"/>
      <c r="G891" s="17" t="s">
        <v>1078</v>
      </c>
      <c r="H891" s="29"/>
    </row>
    <row r="892" spans="1:8">
      <c r="A892" s="28">
        <v>46014</v>
      </c>
      <c r="B892" s="16"/>
      <c r="C892" s="16" t="s">
        <v>15</v>
      </c>
      <c r="D892" s="16" t="s">
        <v>492</v>
      </c>
      <c r="E892" s="16" t="s">
        <v>41</v>
      </c>
      <c r="F892" s="33"/>
      <c r="G892" s="17" t="s">
        <v>1079</v>
      </c>
      <c r="H892" s="29"/>
    </row>
    <row r="893" spans="1:8">
      <c r="A893" s="28">
        <v>46014</v>
      </c>
      <c r="B893" s="16"/>
      <c r="C893" s="16" t="s">
        <v>15</v>
      </c>
      <c r="D893" s="16" t="s">
        <v>1076</v>
      </c>
      <c r="E893" s="16" t="s">
        <v>41</v>
      </c>
      <c r="F893" s="33"/>
      <c r="G893" s="17" t="s">
        <v>1080</v>
      </c>
      <c r="H893" s="29"/>
    </row>
    <row r="894" spans="1:8">
      <c r="A894" s="28">
        <v>46014</v>
      </c>
      <c r="B894" s="16"/>
      <c r="C894" s="16" t="s">
        <v>15</v>
      </c>
      <c r="D894" s="16" t="s">
        <v>1031</v>
      </c>
      <c r="E894" s="16" t="s">
        <v>41</v>
      </c>
      <c r="F894" s="33"/>
      <c r="G894" s="17" t="s">
        <v>1081</v>
      </c>
      <c r="H894" s="29"/>
    </row>
    <row r="895" spans="1:8">
      <c r="A895" s="28">
        <v>46014</v>
      </c>
      <c r="B895" s="16"/>
      <c r="C895" s="16" t="s">
        <v>759</v>
      </c>
      <c r="D895" s="16" t="s">
        <v>1033</v>
      </c>
      <c r="E895" s="16" t="s">
        <v>41</v>
      </c>
      <c r="F895" s="33"/>
      <c r="G895" s="17" t="s">
        <v>1082</v>
      </c>
      <c r="H895" s="29"/>
    </row>
    <row r="896" spans="1:8">
      <c r="A896" s="28">
        <v>46015</v>
      </c>
      <c r="B896" s="16"/>
      <c r="C896" s="16" t="s">
        <v>1057</v>
      </c>
      <c r="D896" s="16" t="s">
        <v>1077</v>
      </c>
      <c r="E896" s="16" t="s">
        <v>41</v>
      </c>
      <c r="F896" s="33"/>
      <c r="G896" s="17" t="s">
        <v>1083</v>
      </c>
      <c r="H896" s="29"/>
    </row>
    <row r="897" spans="1:8" ht="16.5" thickBot="1">
      <c r="A897" s="31"/>
      <c r="B897" s="20"/>
      <c r="C897" s="20"/>
      <c r="D897" s="20"/>
      <c r="E897" s="20"/>
      <c r="F897" s="20"/>
      <c r="G897" s="20"/>
      <c r="H897" s="30"/>
    </row>
    <row r="899" spans="1:8" ht="16.5" thickBot="1">
      <c r="A899" s="14" t="s">
        <v>930</v>
      </c>
    </row>
    <row r="900" spans="1:8">
      <c r="A900" s="3" t="s">
        <v>58</v>
      </c>
      <c r="B900" s="4" t="s">
        <v>67</v>
      </c>
      <c r="C900" s="4" t="s">
        <v>3</v>
      </c>
      <c r="D900" s="4" t="s">
        <v>57</v>
      </c>
      <c r="E900" s="4" t="s">
        <v>59</v>
      </c>
      <c r="F900" s="4" t="s">
        <v>61</v>
      </c>
      <c r="G900" s="4" t="s">
        <v>60</v>
      </c>
      <c r="H900" s="5" t="s">
        <v>66</v>
      </c>
    </row>
    <row r="901" spans="1:8">
      <c r="A901" s="28">
        <v>46386</v>
      </c>
      <c r="B901" s="16"/>
      <c r="C901" s="16" t="s">
        <v>15</v>
      </c>
      <c r="D901" s="16" t="s">
        <v>1031</v>
      </c>
      <c r="E901" s="16" t="s">
        <v>41</v>
      </c>
      <c r="F901" s="33"/>
      <c r="G901" s="17" t="s">
        <v>1084</v>
      </c>
      <c r="H901" s="29"/>
    </row>
    <row r="902" spans="1:8">
      <c r="A902" s="28"/>
      <c r="B902" s="16"/>
      <c r="C902" s="16"/>
      <c r="D902" s="16"/>
      <c r="E902" s="16"/>
      <c r="F902" s="33"/>
      <c r="G902" s="17"/>
      <c r="H902" s="29"/>
    </row>
    <row r="903" spans="1:8">
      <c r="A903" s="28"/>
      <c r="B903" s="16"/>
      <c r="C903" s="16"/>
      <c r="D903" s="16"/>
      <c r="E903" s="16"/>
      <c r="F903" s="33"/>
      <c r="G903" s="17"/>
      <c r="H903" s="29"/>
    </row>
    <row r="904" spans="1:8">
      <c r="A904" s="28"/>
      <c r="B904" s="16"/>
      <c r="C904" s="16"/>
      <c r="D904" s="16"/>
      <c r="E904" s="16"/>
      <c r="F904" s="33"/>
      <c r="G904" s="17"/>
      <c r="H904" s="29"/>
    </row>
    <row r="905" spans="1:8">
      <c r="A905" s="28"/>
      <c r="B905" s="16"/>
      <c r="C905" s="16"/>
      <c r="D905" s="16"/>
      <c r="E905" s="16"/>
      <c r="F905" s="33"/>
      <c r="G905" s="17"/>
      <c r="H905" s="29"/>
    </row>
    <row r="906" spans="1:8">
      <c r="A906" s="28"/>
      <c r="B906" s="16"/>
      <c r="C906" s="16"/>
      <c r="D906" s="16"/>
      <c r="E906" s="16"/>
      <c r="F906" s="33"/>
      <c r="G906" s="17"/>
      <c r="H906" s="29"/>
    </row>
    <row r="907" spans="1:8" ht="16.5" thickBot="1">
      <c r="A907" s="31"/>
      <c r="B907" s="20"/>
      <c r="C907" s="20"/>
      <c r="D907" s="20"/>
      <c r="E907" s="20"/>
      <c r="F907" s="20"/>
      <c r="G907" s="20"/>
      <c r="H907" s="30"/>
    </row>
  </sheetData>
  <autoFilter ref="A863:H863" xr:uid="{28D955AD-3828-4720-AE05-1CE543180CF9}"/>
  <dataConsolidate/>
  <mergeCells count="190">
    <mergeCell ref="A789:A793"/>
    <mergeCell ref="E789:E793"/>
    <mergeCell ref="F789:F793"/>
    <mergeCell ref="B790:B791"/>
    <mergeCell ref="C790:C791"/>
    <mergeCell ref="B792:B793"/>
    <mergeCell ref="C792:C793"/>
    <mergeCell ref="D794:F794"/>
    <mergeCell ref="A795:A796"/>
    <mergeCell ref="D795:F796"/>
    <mergeCell ref="A642:A646"/>
    <mergeCell ref="E642:E646"/>
    <mergeCell ref="F642:F646"/>
    <mergeCell ref="B643:B644"/>
    <mergeCell ref="C643:C644"/>
    <mergeCell ref="B645:B646"/>
    <mergeCell ref="C645:C646"/>
    <mergeCell ref="D647:F647"/>
    <mergeCell ref="A648:A649"/>
    <mergeCell ref="D648:F649"/>
    <mergeCell ref="A584:A588"/>
    <mergeCell ref="E584:E588"/>
    <mergeCell ref="F584:F588"/>
    <mergeCell ref="B585:B586"/>
    <mergeCell ref="C585:C586"/>
    <mergeCell ref="B587:B588"/>
    <mergeCell ref="C587:C588"/>
    <mergeCell ref="D589:F589"/>
    <mergeCell ref="A590:A591"/>
    <mergeCell ref="D590:F591"/>
    <mergeCell ref="A524:A528"/>
    <mergeCell ref="E524:E528"/>
    <mergeCell ref="F524:F528"/>
    <mergeCell ref="B525:B526"/>
    <mergeCell ref="C525:C526"/>
    <mergeCell ref="B527:B528"/>
    <mergeCell ref="C527:C528"/>
    <mergeCell ref="D529:F529"/>
    <mergeCell ref="A530:A531"/>
    <mergeCell ref="D530:F531"/>
    <mergeCell ref="D471:F471"/>
    <mergeCell ref="A472:A473"/>
    <mergeCell ref="D472:F473"/>
    <mergeCell ref="A466:A470"/>
    <mergeCell ref="E466:E470"/>
    <mergeCell ref="F466:F470"/>
    <mergeCell ref="B467:B468"/>
    <mergeCell ref="C467:C468"/>
    <mergeCell ref="B469:B470"/>
    <mergeCell ref="C469:C470"/>
    <mergeCell ref="D418:F418"/>
    <mergeCell ref="A419:A420"/>
    <mergeCell ref="D419:F420"/>
    <mergeCell ref="A413:A417"/>
    <mergeCell ref="E413:E417"/>
    <mergeCell ref="F413:F417"/>
    <mergeCell ref="B414:B415"/>
    <mergeCell ref="C414:C415"/>
    <mergeCell ref="B416:B417"/>
    <mergeCell ref="C416:C417"/>
    <mergeCell ref="D219:F219"/>
    <mergeCell ref="A220:A221"/>
    <mergeCell ref="D220:F221"/>
    <mergeCell ref="A214:A218"/>
    <mergeCell ref="E214:E218"/>
    <mergeCell ref="F214:F218"/>
    <mergeCell ref="B215:B216"/>
    <mergeCell ref="C215:C216"/>
    <mergeCell ref="B217:B218"/>
    <mergeCell ref="C217:C218"/>
    <mergeCell ref="E65:E69"/>
    <mergeCell ref="F65:F69"/>
    <mergeCell ref="B66:B67"/>
    <mergeCell ref="C66:C67"/>
    <mergeCell ref="B68:B69"/>
    <mergeCell ref="C68:C69"/>
    <mergeCell ref="D173:F173"/>
    <mergeCell ref="A174:A175"/>
    <mergeCell ref="D174:F175"/>
    <mergeCell ref="A168:A172"/>
    <mergeCell ref="E168:E172"/>
    <mergeCell ref="F168:F172"/>
    <mergeCell ref="B169:B170"/>
    <mergeCell ref="C169:C170"/>
    <mergeCell ref="B171:B172"/>
    <mergeCell ref="C171:C172"/>
    <mergeCell ref="A23:A27"/>
    <mergeCell ref="E23:E27"/>
    <mergeCell ref="F23:F27"/>
    <mergeCell ref="B24:B25"/>
    <mergeCell ref="C24:C25"/>
    <mergeCell ref="B26:B27"/>
    <mergeCell ref="C26:C27"/>
    <mergeCell ref="D129:F129"/>
    <mergeCell ref="A130:A131"/>
    <mergeCell ref="D130:F131"/>
    <mergeCell ref="A124:A128"/>
    <mergeCell ref="E124:E128"/>
    <mergeCell ref="F124:F128"/>
    <mergeCell ref="B125:B126"/>
    <mergeCell ref="C125:C126"/>
    <mergeCell ref="B127:B128"/>
    <mergeCell ref="C127:C128"/>
    <mergeCell ref="D70:F70"/>
    <mergeCell ref="A71:A72"/>
    <mergeCell ref="D71:F72"/>
    <mergeCell ref="D28:F28"/>
    <mergeCell ref="A29:A30"/>
    <mergeCell ref="D29:F30"/>
    <mergeCell ref="A65:A69"/>
    <mergeCell ref="D256:F256"/>
    <mergeCell ref="A257:A258"/>
    <mergeCell ref="D257:F258"/>
    <mergeCell ref="A251:A255"/>
    <mergeCell ref="E251:E255"/>
    <mergeCell ref="F251:F255"/>
    <mergeCell ref="B252:B253"/>
    <mergeCell ref="C252:C253"/>
    <mergeCell ref="B254:B255"/>
    <mergeCell ref="C254:C255"/>
    <mergeCell ref="D291:F291"/>
    <mergeCell ref="A292:A293"/>
    <mergeCell ref="D292:F293"/>
    <mergeCell ref="A286:A290"/>
    <mergeCell ref="E286:E290"/>
    <mergeCell ref="F286:F290"/>
    <mergeCell ref="B287:B288"/>
    <mergeCell ref="C287:C288"/>
    <mergeCell ref="B289:B290"/>
    <mergeCell ref="C289:C290"/>
    <mergeCell ref="D330:F330"/>
    <mergeCell ref="A331:A332"/>
    <mergeCell ref="D331:F332"/>
    <mergeCell ref="A325:A329"/>
    <mergeCell ref="E325:E329"/>
    <mergeCell ref="F325:F329"/>
    <mergeCell ref="B326:B327"/>
    <mergeCell ref="C326:C327"/>
    <mergeCell ref="B328:B329"/>
    <mergeCell ref="C328:C329"/>
    <mergeCell ref="D361:F361"/>
    <mergeCell ref="A362:A363"/>
    <mergeCell ref="D362:F363"/>
    <mergeCell ref="A356:A360"/>
    <mergeCell ref="E356:E360"/>
    <mergeCell ref="F356:F360"/>
    <mergeCell ref="B357:B358"/>
    <mergeCell ref="C357:C358"/>
    <mergeCell ref="B359:B360"/>
    <mergeCell ref="C359:C360"/>
    <mergeCell ref="A696:A700"/>
    <mergeCell ref="E696:E700"/>
    <mergeCell ref="F696:F700"/>
    <mergeCell ref="B697:B698"/>
    <mergeCell ref="C697:C698"/>
    <mergeCell ref="B699:B700"/>
    <mergeCell ref="C699:C700"/>
    <mergeCell ref="D701:F701"/>
    <mergeCell ref="A702:A703"/>
    <mergeCell ref="D702:F703"/>
    <mergeCell ref="A753:A757"/>
    <mergeCell ref="E753:E757"/>
    <mergeCell ref="F753:F757"/>
    <mergeCell ref="B754:B755"/>
    <mergeCell ref="C754:C755"/>
    <mergeCell ref="B756:B757"/>
    <mergeCell ref="C756:C757"/>
    <mergeCell ref="D758:F758"/>
    <mergeCell ref="A759:A760"/>
    <mergeCell ref="D759:F760"/>
    <mergeCell ref="A853:A857"/>
    <mergeCell ref="E853:E857"/>
    <mergeCell ref="F853:F857"/>
    <mergeCell ref="B854:B855"/>
    <mergeCell ref="C854:C855"/>
    <mergeCell ref="B856:B857"/>
    <mergeCell ref="C856:C857"/>
    <mergeCell ref="D858:F858"/>
    <mergeCell ref="A859:A860"/>
    <mergeCell ref="D859:F860"/>
    <mergeCell ref="A880:A884"/>
    <mergeCell ref="E880:E884"/>
    <mergeCell ref="F880:F884"/>
    <mergeCell ref="B881:B882"/>
    <mergeCell ref="C881:C882"/>
    <mergeCell ref="B883:B884"/>
    <mergeCell ref="C883:C884"/>
    <mergeCell ref="D885:F885"/>
    <mergeCell ref="A886:A887"/>
    <mergeCell ref="D886:F887"/>
  </mergeCells>
  <phoneticPr fontId="1" type="noConversion"/>
  <dataValidations count="4">
    <dataValidation type="list" allowBlank="1" showInputMessage="1" showErrorMessage="1" sqref="E4:E20" xr:uid="{AB679D4F-6CFE-4176-ACDD-D120C1D9BF8F}">
      <formula1>"電訪,面訪,郵件"</formula1>
    </dataValidation>
    <dataValidation type="list" allowBlank="1" showInputMessage="1" showErrorMessage="1" sqref="E3 E76:E121 E179:E211 E225:E248 E262:E283 E297:E322 E336:E353 E135:E165 E424:E463 E34:E62 E595:E639 E535:E581 E367:E410 E477:E521 E653:E693 E707:E750 E764:E786 E800:E850 E864:E877 E891:E897 E901:E907" xr:uid="{28957236-135C-487A-B000-94AC122CD30E}">
      <formula1>"電訪,面訪"</formula1>
    </dataValidation>
    <dataValidation type="list" allowBlank="1" showInputMessage="1" showErrorMessage="1" sqref="H3 H34 F3:F20 H76 F76:F121 H135 H179 H225 H262 H297 F179:F211 F225:F248 F262:F283 F297:F322 H336 H367 F336:F353 H424 F135:F165 F424:F463 H477:H478 F34:F62 H535:H538 H595:H598 F595:F639 H653:H656 F535:F581 F367:F410 F477:F521 F653:F693 H707:H710 F707:F750 H764:H767 F764:F786 H800:H803 F800:F850 H864:H868 F864:F877 H891:H896 F891:F897 H901:H906 F901:F907" xr:uid="{DE29B4DB-07BC-4A30-83F4-41318863A182}">
      <formula1>"有效接觸,約訪,無效"</formula1>
    </dataValidation>
    <dataValidation type="list" allowBlank="1" showInputMessage="1" showErrorMessage="1" sqref="B3:B20 B76:B121 B262:B283 B179:B211 B225:B248 B297:B322 B336:B353 B135:B165 B424:B463 B34:B62 B595:B639 B535:B581 B367:B410 B477:B521 B653:B693 B707:B750 B764:B786 B800:B850 B864:B877 B891:B897 B901:B907" xr:uid="{0DCAABD6-53EB-42C6-B692-20EB3A016929}">
      <formula1>"陌生開發,新項目討論,訂單協議,關係維護"</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0887B-BF90-493D-882D-828BFFE150BB}">
  <dimension ref="A1:S1851"/>
  <sheetViews>
    <sheetView tabSelected="1" topLeftCell="A1755" zoomScale="90" zoomScaleNormal="90" workbookViewId="0">
      <selection activeCell="A1756" sqref="A1756:G1756"/>
    </sheetView>
  </sheetViews>
  <sheetFormatPr defaultRowHeight="15.75"/>
  <cols>
    <col min="1" max="1" width="22.140625" customWidth="1"/>
    <col min="2" max="3" width="20.7109375" customWidth="1"/>
    <col min="4" max="4" width="26.28515625" customWidth="1"/>
    <col min="5" max="5" width="11.7109375" customWidth="1"/>
    <col min="6" max="6" width="29.7109375" customWidth="1"/>
    <col min="7" max="7" width="55.85546875" customWidth="1"/>
    <col min="8" max="8" width="44" customWidth="1"/>
    <col min="12" max="12" width="26.85546875" customWidth="1"/>
    <col min="13" max="13" width="0.140625" customWidth="1"/>
    <col min="14" max="14" width="28.85546875" customWidth="1"/>
    <col min="16" max="16" width="14.85546875" bestFit="1" customWidth="1"/>
    <col min="18" max="18" width="43.42578125" customWidth="1"/>
  </cols>
  <sheetData>
    <row r="1" spans="1:8" hidden="1">
      <c r="A1" s="14" t="s">
        <v>10</v>
      </c>
      <c r="B1" s="14"/>
      <c r="C1" s="14"/>
      <c r="D1" s="14"/>
      <c r="E1" s="14"/>
      <c r="F1" s="14"/>
      <c r="G1" s="14"/>
      <c r="H1" s="14"/>
    </row>
    <row r="2" spans="1:8" hidden="1">
      <c r="A2" s="3" t="s">
        <v>58</v>
      </c>
      <c r="B2" s="4" t="s">
        <v>67</v>
      </c>
      <c r="C2" s="4" t="s">
        <v>3</v>
      </c>
      <c r="D2" s="4" t="s">
        <v>57</v>
      </c>
      <c r="E2" s="4" t="s">
        <v>59</v>
      </c>
      <c r="F2" s="4" t="s">
        <v>61</v>
      </c>
      <c r="G2" s="4" t="s">
        <v>60</v>
      </c>
      <c r="H2" s="5" t="s">
        <v>66</v>
      </c>
    </row>
    <row r="3" spans="1:8" ht="31.5" hidden="1">
      <c r="A3" s="94">
        <v>45874</v>
      </c>
      <c r="B3" s="24" t="s">
        <v>76</v>
      </c>
      <c r="C3" s="24" t="s">
        <v>1204</v>
      </c>
      <c r="D3" s="24" t="s">
        <v>1205</v>
      </c>
      <c r="E3" s="24" t="s">
        <v>40</v>
      </c>
      <c r="F3" s="16" t="s">
        <v>77</v>
      </c>
      <c r="G3" s="25" t="s">
        <v>1206</v>
      </c>
      <c r="H3" s="39"/>
    </row>
    <row r="4" spans="1:8" ht="47.25" hidden="1">
      <c r="A4" s="94">
        <v>45874</v>
      </c>
      <c r="B4" s="24" t="s">
        <v>76</v>
      </c>
      <c r="C4" s="24" t="s">
        <v>1207</v>
      </c>
      <c r="D4" s="24" t="s">
        <v>1208</v>
      </c>
      <c r="E4" s="24" t="s">
        <v>40</v>
      </c>
      <c r="F4" s="16" t="s">
        <v>77</v>
      </c>
      <c r="G4" s="25" t="s">
        <v>1209</v>
      </c>
      <c r="H4" s="39"/>
    </row>
    <row r="5" spans="1:8" ht="31.5" hidden="1">
      <c r="A5" s="94">
        <v>45874</v>
      </c>
      <c r="B5" s="24" t="s">
        <v>76</v>
      </c>
      <c r="C5" s="24" t="s">
        <v>1210</v>
      </c>
      <c r="D5" s="24" t="s">
        <v>1211</v>
      </c>
      <c r="E5" s="24" t="s">
        <v>40</v>
      </c>
      <c r="F5" s="16" t="s">
        <v>77</v>
      </c>
      <c r="G5" s="25" t="s">
        <v>1212</v>
      </c>
      <c r="H5" s="39"/>
    </row>
    <row r="6" spans="1:8" hidden="1">
      <c r="A6" s="94">
        <v>45874</v>
      </c>
      <c r="B6" s="24" t="s">
        <v>197</v>
      </c>
      <c r="C6" s="24" t="s">
        <v>1213</v>
      </c>
      <c r="D6" s="24" t="s">
        <v>1214</v>
      </c>
      <c r="E6" s="24" t="s">
        <v>40</v>
      </c>
      <c r="F6" s="16" t="s">
        <v>71</v>
      </c>
      <c r="G6" s="24" t="s">
        <v>1215</v>
      </c>
      <c r="H6" s="39"/>
    </row>
    <row r="7" spans="1:8" ht="47.25" hidden="1">
      <c r="A7" s="94">
        <v>45876</v>
      </c>
      <c r="B7" s="24" t="s">
        <v>76</v>
      </c>
      <c r="C7" s="24" t="s">
        <v>1216</v>
      </c>
      <c r="D7" s="24" t="s">
        <v>1217</v>
      </c>
      <c r="E7" s="24" t="s">
        <v>40</v>
      </c>
      <c r="F7" s="16" t="s">
        <v>77</v>
      </c>
      <c r="G7" s="25" t="s">
        <v>1218</v>
      </c>
      <c r="H7" s="39"/>
    </row>
    <row r="8" spans="1:8" ht="63" hidden="1">
      <c r="A8" s="94">
        <v>45876</v>
      </c>
      <c r="B8" s="24" t="s">
        <v>75</v>
      </c>
      <c r="C8" s="24" t="s">
        <v>1219</v>
      </c>
      <c r="D8" s="24" t="s">
        <v>1220</v>
      </c>
      <c r="E8" s="24" t="s">
        <v>40</v>
      </c>
      <c r="F8" s="16" t="s">
        <v>676</v>
      </c>
      <c r="G8" s="25" t="s">
        <v>1221</v>
      </c>
      <c r="H8" s="39"/>
    </row>
    <row r="9" spans="1:8" ht="31.5" hidden="1">
      <c r="A9" s="94">
        <v>45877</v>
      </c>
      <c r="B9" s="24" t="s">
        <v>76</v>
      </c>
      <c r="C9" s="24" t="s">
        <v>1222</v>
      </c>
      <c r="D9" s="24" t="s">
        <v>1223</v>
      </c>
      <c r="E9" s="24" t="s">
        <v>40</v>
      </c>
      <c r="F9" s="16" t="s">
        <v>77</v>
      </c>
      <c r="G9" s="25" t="s">
        <v>1224</v>
      </c>
      <c r="H9" s="39"/>
    </row>
    <row r="10" spans="1:8" ht="63" hidden="1">
      <c r="A10" s="94">
        <v>45877</v>
      </c>
      <c r="B10" s="24" t="s">
        <v>75</v>
      </c>
      <c r="C10" s="24" t="s">
        <v>1202</v>
      </c>
      <c r="D10" s="24" t="s">
        <v>1225</v>
      </c>
      <c r="E10" s="24" t="s">
        <v>40</v>
      </c>
      <c r="F10" s="16" t="s">
        <v>676</v>
      </c>
      <c r="G10" s="25" t="s">
        <v>1226</v>
      </c>
      <c r="H10" s="39"/>
    </row>
    <row r="11" spans="1:8" ht="32.25" hidden="1" thickBot="1">
      <c r="A11" s="31">
        <v>45877</v>
      </c>
      <c r="B11" s="20" t="s">
        <v>75</v>
      </c>
      <c r="C11" s="20" t="s">
        <v>1227</v>
      </c>
      <c r="D11" s="20" t="s">
        <v>1228</v>
      </c>
      <c r="E11" s="20" t="s">
        <v>40</v>
      </c>
      <c r="F11" s="20" t="s">
        <v>676</v>
      </c>
      <c r="G11" s="21" t="s">
        <v>1229</v>
      </c>
      <c r="H11" s="30"/>
    </row>
    <row r="12" spans="1:8" hidden="1">
      <c r="A12" s="95">
        <v>45876</v>
      </c>
      <c r="B12" s="40" t="s">
        <v>76</v>
      </c>
      <c r="C12" s="40" t="s">
        <v>1230</v>
      </c>
      <c r="D12" s="40" t="s">
        <v>1231</v>
      </c>
      <c r="E12" s="40" t="s">
        <v>41</v>
      </c>
      <c r="F12" s="96" t="s">
        <v>64</v>
      </c>
      <c r="G12" s="43" t="s">
        <v>1232</v>
      </c>
      <c r="H12" s="97"/>
    </row>
    <row r="13" spans="1:8" ht="63" hidden="1">
      <c r="A13" s="94">
        <v>45876</v>
      </c>
      <c r="B13" s="24" t="s">
        <v>75</v>
      </c>
      <c r="C13" s="24" t="s">
        <v>1233</v>
      </c>
      <c r="D13" s="24" t="s">
        <v>1234</v>
      </c>
      <c r="E13" s="24" t="s">
        <v>41</v>
      </c>
      <c r="F13" s="16" t="s">
        <v>71</v>
      </c>
      <c r="G13" s="25" t="s">
        <v>1235</v>
      </c>
      <c r="H13" s="39"/>
    </row>
    <row r="14" spans="1:8" ht="31.5" hidden="1">
      <c r="A14" s="94">
        <v>45876</v>
      </c>
      <c r="B14" s="24" t="s">
        <v>76</v>
      </c>
      <c r="C14" s="24" t="s">
        <v>1236</v>
      </c>
      <c r="D14" s="24" t="s">
        <v>1237</v>
      </c>
      <c r="E14" s="24" t="s">
        <v>41</v>
      </c>
      <c r="F14" s="16" t="s">
        <v>64</v>
      </c>
      <c r="G14" s="25" t="s">
        <v>1238</v>
      </c>
      <c r="H14" s="39"/>
    </row>
    <row r="15" spans="1:8" ht="48" hidden="1" thickBot="1">
      <c r="A15" s="31">
        <v>45876</v>
      </c>
      <c r="B15" s="20" t="s">
        <v>75</v>
      </c>
      <c r="C15" s="20" t="s">
        <v>1239</v>
      </c>
      <c r="D15" s="20" t="s">
        <v>1240</v>
      </c>
      <c r="E15" s="20" t="s">
        <v>41</v>
      </c>
      <c r="F15" s="16" t="s">
        <v>676</v>
      </c>
      <c r="G15" s="21" t="s">
        <v>1241</v>
      </c>
      <c r="H15" s="30"/>
    </row>
    <row r="16" spans="1:8" hidden="1">
      <c r="A16" s="98"/>
      <c r="B16" s="14"/>
      <c r="C16" s="14"/>
      <c r="D16" s="14"/>
      <c r="E16" s="14"/>
      <c r="F16" s="14"/>
      <c r="G16" s="32"/>
      <c r="H16" s="14"/>
    </row>
    <row r="17" spans="1:8" hidden="1">
      <c r="A17" s="3" t="s">
        <v>70</v>
      </c>
      <c r="B17" s="4" t="s">
        <v>72</v>
      </c>
      <c r="C17" s="4" t="s">
        <v>16</v>
      </c>
      <c r="D17" s="34" t="s">
        <v>155</v>
      </c>
      <c r="E17" s="9" t="s">
        <v>156</v>
      </c>
      <c r="F17" s="10" t="s">
        <v>157</v>
      </c>
      <c r="G17" s="14"/>
      <c r="H17" s="14"/>
    </row>
    <row r="18" spans="1:8" hidden="1">
      <c r="A18" s="132" t="s">
        <v>63</v>
      </c>
      <c r="B18" s="99" t="s">
        <v>68</v>
      </c>
      <c r="C18" s="99">
        <v>2</v>
      </c>
      <c r="D18" s="99">
        <f>C18</f>
        <v>2</v>
      </c>
      <c r="E18" s="133">
        <f>D18+D20+D22</f>
        <v>2.6666666666666665</v>
      </c>
      <c r="F18" s="134">
        <f>E18/12</f>
        <v>0.22222222222222221</v>
      </c>
      <c r="G18" s="14"/>
      <c r="H18" s="14"/>
    </row>
    <row r="19" spans="1:8" hidden="1">
      <c r="A19" s="122"/>
      <c r="B19" s="125" t="s">
        <v>65</v>
      </c>
      <c r="C19" s="125">
        <v>2</v>
      </c>
      <c r="D19" s="35" t="s">
        <v>158</v>
      </c>
      <c r="E19" s="123"/>
      <c r="F19" s="124"/>
      <c r="G19" s="14"/>
      <c r="H19" s="14"/>
    </row>
    <row r="20" spans="1:8" hidden="1">
      <c r="A20" s="122"/>
      <c r="B20" s="125"/>
      <c r="C20" s="125"/>
      <c r="D20" s="16">
        <f>C19/3</f>
        <v>0.66666666666666663</v>
      </c>
      <c r="E20" s="123"/>
      <c r="F20" s="124"/>
      <c r="G20" s="14"/>
      <c r="H20" s="14"/>
    </row>
    <row r="21" spans="1:8" hidden="1">
      <c r="A21" s="122"/>
      <c r="B21" s="125" t="s">
        <v>69</v>
      </c>
      <c r="C21" s="125">
        <v>0</v>
      </c>
      <c r="D21" s="35" t="s">
        <v>159</v>
      </c>
      <c r="E21" s="123"/>
      <c r="F21" s="124"/>
      <c r="G21" s="14"/>
      <c r="H21" s="14"/>
    </row>
    <row r="22" spans="1:8" hidden="1">
      <c r="A22" s="122"/>
      <c r="B22" s="125"/>
      <c r="C22" s="125"/>
      <c r="D22" s="16">
        <v>0</v>
      </c>
      <c r="E22" s="123"/>
      <c r="F22" s="124"/>
      <c r="G22" s="14"/>
      <c r="H22" s="14"/>
    </row>
    <row r="23" spans="1:8" hidden="1">
      <c r="A23" s="36" t="s">
        <v>70</v>
      </c>
      <c r="B23" s="37" t="s">
        <v>72</v>
      </c>
      <c r="C23" s="37" t="s">
        <v>16</v>
      </c>
      <c r="D23" s="126" t="s">
        <v>160</v>
      </c>
      <c r="E23" s="126"/>
      <c r="F23" s="127"/>
      <c r="G23" s="14"/>
      <c r="H23" s="14"/>
    </row>
    <row r="24" spans="1:8" hidden="1">
      <c r="A24" s="122" t="s">
        <v>62</v>
      </c>
      <c r="B24" s="16" t="s">
        <v>68</v>
      </c>
      <c r="C24" s="16">
        <v>4</v>
      </c>
      <c r="D24" s="129">
        <f>C24/9</f>
        <v>0.44444444444444442</v>
      </c>
      <c r="E24" s="129"/>
      <c r="F24" s="124"/>
      <c r="G24" s="14"/>
      <c r="H24" s="14"/>
    </row>
    <row r="25" spans="1:8" ht="16.5" hidden="1" thickBot="1">
      <c r="A25" s="128"/>
      <c r="B25" s="20" t="s">
        <v>69</v>
      </c>
      <c r="C25" s="20">
        <v>5</v>
      </c>
      <c r="D25" s="130"/>
      <c r="E25" s="130"/>
      <c r="F25" s="131"/>
      <c r="G25" s="14"/>
      <c r="H25" s="14"/>
    </row>
    <row r="26" spans="1:8" hidden="1"/>
    <row r="27" spans="1:8" hidden="1">
      <c r="A27" s="14"/>
      <c r="B27" s="14"/>
      <c r="C27" s="14"/>
      <c r="D27" s="14"/>
      <c r="E27" s="14"/>
      <c r="F27" s="14"/>
      <c r="G27" s="14"/>
      <c r="H27" s="14"/>
    </row>
    <row r="28" spans="1:8" hidden="1">
      <c r="A28" s="14" t="s">
        <v>18</v>
      </c>
      <c r="B28" s="14"/>
      <c r="C28" s="14"/>
      <c r="D28" s="14"/>
      <c r="E28" s="14"/>
      <c r="F28" s="14"/>
      <c r="G28" s="14"/>
      <c r="H28" s="14"/>
    </row>
    <row r="29" spans="1:8" hidden="1">
      <c r="A29" s="3" t="s">
        <v>58</v>
      </c>
      <c r="B29" s="4" t="s">
        <v>67</v>
      </c>
      <c r="C29" s="4" t="s">
        <v>3</v>
      </c>
      <c r="D29" s="4" t="s">
        <v>57</v>
      </c>
      <c r="E29" s="4" t="s">
        <v>59</v>
      </c>
      <c r="F29" s="4" t="s">
        <v>61</v>
      </c>
      <c r="G29" s="4" t="s">
        <v>60</v>
      </c>
      <c r="H29" s="5" t="s">
        <v>66</v>
      </c>
    </row>
    <row r="30" spans="1:8" ht="141.75" hidden="1">
      <c r="A30" s="28">
        <v>45881</v>
      </c>
      <c r="B30" s="16" t="s">
        <v>75</v>
      </c>
      <c r="C30" s="16" t="s">
        <v>1233</v>
      </c>
      <c r="D30" s="16" t="s">
        <v>1242</v>
      </c>
      <c r="E30" s="16" t="s">
        <v>41</v>
      </c>
      <c r="F30" s="16" t="s">
        <v>71</v>
      </c>
      <c r="G30" s="17" t="s">
        <v>1243</v>
      </c>
      <c r="H30" s="29" t="s">
        <v>71</v>
      </c>
    </row>
    <row r="31" spans="1:8" ht="47.25" hidden="1">
      <c r="A31" s="28">
        <v>45881</v>
      </c>
      <c r="B31" s="16" t="s">
        <v>75</v>
      </c>
      <c r="C31" s="16" t="s">
        <v>1244</v>
      </c>
      <c r="D31" s="16" t="s">
        <v>1245</v>
      </c>
      <c r="E31" s="16" t="s">
        <v>41</v>
      </c>
      <c r="F31" s="16" t="s">
        <v>77</v>
      </c>
      <c r="G31" s="17" t="s">
        <v>1246</v>
      </c>
      <c r="H31" s="29" t="s">
        <v>77</v>
      </c>
    </row>
    <row r="32" spans="1:8" ht="31.5" hidden="1">
      <c r="A32" s="28">
        <v>45881</v>
      </c>
      <c r="B32" s="16" t="s">
        <v>75</v>
      </c>
      <c r="C32" s="16" t="s">
        <v>1247</v>
      </c>
      <c r="D32" s="16" t="s">
        <v>1248</v>
      </c>
      <c r="E32" s="16" t="s">
        <v>41</v>
      </c>
      <c r="F32" s="16" t="s">
        <v>71</v>
      </c>
      <c r="G32" s="17" t="s">
        <v>1249</v>
      </c>
      <c r="H32" s="29" t="s">
        <v>71</v>
      </c>
    </row>
    <row r="33" spans="1:8" hidden="1">
      <c r="A33" s="28">
        <v>45881</v>
      </c>
      <c r="B33" s="16" t="s">
        <v>75</v>
      </c>
      <c r="C33" s="16" t="s">
        <v>1239</v>
      </c>
      <c r="D33" s="16" t="s">
        <v>1240</v>
      </c>
      <c r="E33" s="16" t="s">
        <v>41</v>
      </c>
      <c r="F33" s="16" t="s">
        <v>64</v>
      </c>
      <c r="G33" s="17" t="s">
        <v>1250</v>
      </c>
      <c r="H33" s="29" t="s">
        <v>64</v>
      </c>
    </row>
    <row r="34" spans="1:8" hidden="1">
      <c r="A34" s="28">
        <v>45881</v>
      </c>
      <c r="B34" s="16" t="s">
        <v>75</v>
      </c>
      <c r="C34" s="16" t="s">
        <v>1230</v>
      </c>
      <c r="D34" s="16" t="s">
        <v>1251</v>
      </c>
      <c r="E34" s="16" t="s">
        <v>41</v>
      </c>
      <c r="F34" s="16" t="s">
        <v>64</v>
      </c>
      <c r="G34" s="17" t="s">
        <v>1252</v>
      </c>
      <c r="H34" s="29" t="s">
        <v>64</v>
      </c>
    </row>
    <row r="35" spans="1:8" hidden="1">
      <c r="A35" s="28">
        <v>45881</v>
      </c>
      <c r="B35" s="16" t="s">
        <v>75</v>
      </c>
      <c r="C35" s="16" t="s">
        <v>1253</v>
      </c>
      <c r="D35" s="16" t="s">
        <v>1254</v>
      </c>
      <c r="E35" s="16" t="s">
        <v>41</v>
      </c>
      <c r="F35" s="16" t="s">
        <v>77</v>
      </c>
      <c r="G35" s="17" t="s">
        <v>1255</v>
      </c>
      <c r="H35" s="29" t="s">
        <v>77</v>
      </c>
    </row>
    <row r="36" spans="1:8" hidden="1">
      <c r="A36" s="28">
        <v>45881</v>
      </c>
      <c r="B36" s="16" t="s">
        <v>76</v>
      </c>
      <c r="C36" s="16" t="s">
        <v>1256</v>
      </c>
      <c r="D36" s="16" t="s">
        <v>1257</v>
      </c>
      <c r="E36" s="16" t="s">
        <v>41</v>
      </c>
      <c r="F36" s="16" t="s">
        <v>77</v>
      </c>
      <c r="G36" s="17" t="s">
        <v>1258</v>
      </c>
      <c r="H36" s="29" t="s">
        <v>77</v>
      </c>
    </row>
    <row r="37" spans="1:8" hidden="1">
      <c r="A37" s="28">
        <v>45881</v>
      </c>
      <c r="B37" s="16" t="s">
        <v>76</v>
      </c>
      <c r="C37" s="16" t="s">
        <v>979</v>
      </c>
      <c r="D37" s="16" t="s">
        <v>1259</v>
      </c>
      <c r="E37" s="16" t="s">
        <v>41</v>
      </c>
      <c r="F37" s="16" t="s">
        <v>77</v>
      </c>
      <c r="G37" s="17" t="s">
        <v>1260</v>
      </c>
      <c r="H37" s="29" t="s">
        <v>77</v>
      </c>
    </row>
    <row r="38" spans="1:8" hidden="1">
      <c r="A38" s="28">
        <v>45881</v>
      </c>
      <c r="B38" s="16" t="s">
        <v>75</v>
      </c>
      <c r="C38" s="16" t="s">
        <v>1261</v>
      </c>
      <c r="D38" s="16" t="s">
        <v>1262</v>
      </c>
      <c r="E38" s="16" t="s">
        <v>41</v>
      </c>
      <c r="F38" s="16" t="s">
        <v>77</v>
      </c>
      <c r="G38" s="17" t="s">
        <v>1263</v>
      </c>
      <c r="H38" s="29" t="s">
        <v>77</v>
      </c>
    </row>
    <row r="39" spans="1:8" ht="47.25" hidden="1">
      <c r="A39" s="28">
        <v>45882</v>
      </c>
      <c r="B39" s="16" t="s">
        <v>75</v>
      </c>
      <c r="C39" s="16" t="s">
        <v>408</v>
      </c>
      <c r="D39" s="16" t="s">
        <v>1264</v>
      </c>
      <c r="E39" s="16" t="s">
        <v>41</v>
      </c>
      <c r="F39" s="16" t="s">
        <v>71</v>
      </c>
      <c r="G39" s="17" t="s">
        <v>1265</v>
      </c>
      <c r="H39" s="29" t="s">
        <v>71</v>
      </c>
    </row>
    <row r="40" spans="1:8" ht="31.5" hidden="1">
      <c r="A40" s="28">
        <v>45882</v>
      </c>
      <c r="B40" s="16" t="s">
        <v>75</v>
      </c>
      <c r="C40" s="16" t="s">
        <v>1247</v>
      </c>
      <c r="D40" s="16" t="s">
        <v>1266</v>
      </c>
      <c r="E40" s="16" t="s">
        <v>40</v>
      </c>
      <c r="F40" s="16" t="s">
        <v>71</v>
      </c>
      <c r="G40" s="17" t="s">
        <v>1267</v>
      </c>
      <c r="H40" s="29" t="s">
        <v>71</v>
      </c>
    </row>
    <row r="41" spans="1:8" ht="31.5" hidden="1">
      <c r="A41" s="28">
        <v>45882</v>
      </c>
      <c r="B41" s="16" t="s">
        <v>76</v>
      </c>
      <c r="C41" s="16" t="s">
        <v>1268</v>
      </c>
      <c r="D41" s="16" t="s">
        <v>1269</v>
      </c>
      <c r="E41" s="16" t="s">
        <v>40</v>
      </c>
      <c r="F41" s="16" t="s">
        <v>77</v>
      </c>
      <c r="G41" s="17" t="s">
        <v>1270</v>
      </c>
      <c r="H41" s="29" t="s">
        <v>77</v>
      </c>
    </row>
    <row r="42" spans="1:8" ht="31.5" hidden="1">
      <c r="A42" s="28">
        <v>45882</v>
      </c>
      <c r="B42" s="16" t="s">
        <v>75</v>
      </c>
      <c r="C42" s="16" t="s">
        <v>1256</v>
      </c>
      <c r="D42" s="16" t="s">
        <v>1271</v>
      </c>
      <c r="E42" s="16" t="s">
        <v>41</v>
      </c>
      <c r="F42" s="16" t="s">
        <v>71</v>
      </c>
      <c r="G42" s="17" t="s">
        <v>1272</v>
      </c>
      <c r="H42" s="29" t="s">
        <v>71</v>
      </c>
    </row>
    <row r="43" spans="1:8" ht="31.5" hidden="1">
      <c r="A43" s="28">
        <v>45882</v>
      </c>
      <c r="B43" s="16" t="s">
        <v>75</v>
      </c>
      <c r="C43" s="16" t="s">
        <v>1230</v>
      </c>
      <c r="D43" s="16" t="s">
        <v>1273</v>
      </c>
      <c r="E43" s="16" t="s">
        <v>41</v>
      </c>
      <c r="F43" s="16" t="s">
        <v>71</v>
      </c>
      <c r="G43" s="17" t="s">
        <v>1274</v>
      </c>
      <c r="H43" s="29" t="s">
        <v>71</v>
      </c>
    </row>
    <row r="44" spans="1:8" ht="31.5" hidden="1">
      <c r="A44" s="28">
        <v>45882</v>
      </c>
      <c r="B44" s="16" t="s">
        <v>75</v>
      </c>
      <c r="C44" s="16" t="s">
        <v>1227</v>
      </c>
      <c r="D44" s="16" t="s">
        <v>1275</v>
      </c>
      <c r="E44" s="16" t="s">
        <v>41</v>
      </c>
      <c r="F44" s="16" t="s">
        <v>71</v>
      </c>
      <c r="G44" s="17" t="s">
        <v>1276</v>
      </c>
      <c r="H44" s="29" t="s">
        <v>71</v>
      </c>
    </row>
    <row r="45" spans="1:8" ht="31.5" hidden="1">
      <c r="A45" s="28">
        <v>45883</v>
      </c>
      <c r="B45" s="16" t="s">
        <v>75</v>
      </c>
      <c r="C45" s="16" t="s">
        <v>1277</v>
      </c>
      <c r="D45" s="16" t="s">
        <v>1278</v>
      </c>
      <c r="E45" s="16" t="s">
        <v>41</v>
      </c>
      <c r="F45" s="16" t="s">
        <v>77</v>
      </c>
      <c r="G45" s="17" t="s">
        <v>1279</v>
      </c>
      <c r="H45" s="29" t="s">
        <v>77</v>
      </c>
    </row>
    <row r="46" spans="1:8" ht="31.5" hidden="1">
      <c r="A46" s="28">
        <v>45883</v>
      </c>
      <c r="B46" s="16" t="s">
        <v>75</v>
      </c>
      <c r="C46" s="16" t="s">
        <v>1280</v>
      </c>
      <c r="D46" s="16" t="s">
        <v>1281</v>
      </c>
      <c r="E46" s="16" t="s">
        <v>41</v>
      </c>
      <c r="F46" s="16" t="s">
        <v>71</v>
      </c>
      <c r="G46" s="17" t="s">
        <v>1282</v>
      </c>
      <c r="H46" s="29" t="s">
        <v>71</v>
      </c>
    </row>
    <row r="47" spans="1:8" hidden="1">
      <c r="A47" s="28">
        <v>45883</v>
      </c>
      <c r="B47" s="16" t="s">
        <v>75</v>
      </c>
      <c r="C47" s="16" t="s">
        <v>1283</v>
      </c>
      <c r="D47" s="16" t="s">
        <v>1284</v>
      </c>
      <c r="E47" s="16" t="s">
        <v>41</v>
      </c>
      <c r="F47" s="16" t="s">
        <v>77</v>
      </c>
      <c r="G47" s="17" t="s">
        <v>1285</v>
      </c>
      <c r="H47" s="29" t="s">
        <v>77</v>
      </c>
    </row>
    <row r="48" spans="1:8" ht="31.5" hidden="1">
      <c r="A48" s="28">
        <v>45883</v>
      </c>
      <c r="B48" s="16" t="s">
        <v>75</v>
      </c>
      <c r="C48" s="16" t="s">
        <v>1203</v>
      </c>
      <c r="D48" s="16" t="s">
        <v>1286</v>
      </c>
      <c r="E48" s="16" t="s">
        <v>40</v>
      </c>
      <c r="F48" s="16" t="s">
        <v>71</v>
      </c>
      <c r="G48" s="17" t="s">
        <v>1287</v>
      </c>
      <c r="H48" s="29" t="s">
        <v>71</v>
      </c>
    </row>
    <row r="49" spans="1:8" ht="47.25" hidden="1">
      <c r="A49" s="28">
        <v>45883</v>
      </c>
      <c r="B49" s="16" t="s">
        <v>197</v>
      </c>
      <c r="C49" s="16" t="s">
        <v>1288</v>
      </c>
      <c r="D49" s="16" t="s">
        <v>1289</v>
      </c>
      <c r="E49" s="16" t="s">
        <v>40</v>
      </c>
      <c r="F49" s="16" t="s">
        <v>77</v>
      </c>
      <c r="G49" s="17" t="s">
        <v>1290</v>
      </c>
      <c r="H49" s="29" t="s">
        <v>77</v>
      </c>
    </row>
    <row r="50" spans="1:8" ht="78.75" hidden="1">
      <c r="A50" s="28">
        <v>45883</v>
      </c>
      <c r="B50" s="16" t="s">
        <v>75</v>
      </c>
      <c r="C50" s="16" t="s">
        <v>1291</v>
      </c>
      <c r="D50" s="16" t="s">
        <v>1292</v>
      </c>
      <c r="E50" s="16" t="s">
        <v>41</v>
      </c>
      <c r="F50" s="16" t="s">
        <v>71</v>
      </c>
      <c r="G50" s="17" t="s">
        <v>1293</v>
      </c>
      <c r="H50" s="29" t="s">
        <v>77</v>
      </c>
    </row>
    <row r="51" spans="1:8" hidden="1">
      <c r="A51" s="28">
        <v>45883</v>
      </c>
      <c r="B51" s="16" t="s">
        <v>75</v>
      </c>
      <c r="C51" s="16" t="s">
        <v>1294</v>
      </c>
      <c r="D51" s="16" t="s">
        <v>1295</v>
      </c>
      <c r="E51" s="16" t="s">
        <v>41</v>
      </c>
      <c r="F51" s="16" t="s">
        <v>77</v>
      </c>
      <c r="G51" s="17" t="s">
        <v>1296</v>
      </c>
      <c r="H51" s="29" t="s">
        <v>77</v>
      </c>
    </row>
    <row r="52" spans="1:8" hidden="1">
      <c r="A52" s="28">
        <v>45883</v>
      </c>
      <c r="B52" s="16" t="s">
        <v>76</v>
      </c>
      <c r="C52" s="16" t="s">
        <v>1297</v>
      </c>
      <c r="D52" s="16" t="s">
        <v>1298</v>
      </c>
      <c r="E52" s="16" t="s">
        <v>41</v>
      </c>
      <c r="F52" s="16" t="s">
        <v>64</v>
      </c>
      <c r="G52" s="17" t="s">
        <v>1299</v>
      </c>
      <c r="H52" s="29" t="s">
        <v>64</v>
      </c>
    </row>
    <row r="53" spans="1:8" hidden="1">
      <c r="A53" s="28">
        <v>45883</v>
      </c>
      <c r="B53" s="16" t="s">
        <v>75</v>
      </c>
      <c r="C53" s="16" t="s">
        <v>1300</v>
      </c>
      <c r="D53" s="16" t="s">
        <v>1301</v>
      </c>
      <c r="E53" s="16" t="s">
        <v>41</v>
      </c>
      <c r="F53" s="16" t="s">
        <v>77</v>
      </c>
      <c r="G53" s="17" t="s">
        <v>1302</v>
      </c>
      <c r="H53" s="29" t="s">
        <v>77</v>
      </c>
    </row>
    <row r="54" spans="1:8" ht="31.5" hidden="1">
      <c r="A54" s="28">
        <v>45883</v>
      </c>
      <c r="B54" s="16" t="s">
        <v>75</v>
      </c>
      <c r="C54" s="16" t="s">
        <v>1303</v>
      </c>
      <c r="D54" s="16" t="s">
        <v>1304</v>
      </c>
      <c r="E54" s="16" t="s">
        <v>41</v>
      </c>
      <c r="F54" s="16" t="s">
        <v>64</v>
      </c>
      <c r="G54" s="17" t="s">
        <v>1305</v>
      </c>
      <c r="H54" s="29" t="s">
        <v>64</v>
      </c>
    </row>
    <row r="55" spans="1:8" ht="47.25" hidden="1">
      <c r="A55" s="28">
        <v>45883</v>
      </c>
      <c r="B55" s="16" t="s">
        <v>75</v>
      </c>
      <c r="C55" s="16" t="s">
        <v>1306</v>
      </c>
      <c r="D55" s="16" t="s">
        <v>1307</v>
      </c>
      <c r="E55" s="16" t="s">
        <v>41</v>
      </c>
      <c r="F55" s="16" t="s">
        <v>77</v>
      </c>
      <c r="G55" s="17" t="s">
        <v>1308</v>
      </c>
      <c r="H55" s="29" t="s">
        <v>77</v>
      </c>
    </row>
    <row r="56" spans="1:8" ht="31.5" hidden="1">
      <c r="A56" s="28">
        <v>45883</v>
      </c>
      <c r="B56" s="16" t="s">
        <v>75</v>
      </c>
      <c r="C56" s="16" t="s">
        <v>1309</v>
      </c>
      <c r="D56" s="16" t="s">
        <v>1310</v>
      </c>
      <c r="E56" s="16" t="s">
        <v>41</v>
      </c>
      <c r="F56" s="16" t="s">
        <v>77</v>
      </c>
      <c r="G56" s="17" t="s">
        <v>1311</v>
      </c>
      <c r="H56" s="29" t="s">
        <v>77</v>
      </c>
    </row>
    <row r="57" spans="1:8" ht="31.5" hidden="1">
      <c r="A57" s="28">
        <v>45883</v>
      </c>
      <c r="B57" s="16" t="s">
        <v>197</v>
      </c>
      <c r="C57" s="16" t="s">
        <v>1222</v>
      </c>
      <c r="D57" s="16" t="s">
        <v>1312</v>
      </c>
      <c r="E57" s="16" t="s">
        <v>41</v>
      </c>
      <c r="F57" s="16" t="s">
        <v>71</v>
      </c>
      <c r="G57" s="17" t="s">
        <v>1313</v>
      </c>
      <c r="H57" s="29" t="s">
        <v>71</v>
      </c>
    </row>
    <row r="58" spans="1:8" ht="63" hidden="1">
      <c r="A58" s="28">
        <v>45884</v>
      </c>
      <c r="B58" s="16" t="s">
        <v>76</v>
      </c>
      <c r="C58" s="16" t="s">
        <v>1314</v>
      </c>
      <c r="D58" s="16" t="s">
        <v>1315</v>
      </c>
      <c r="E58" s="16" t="s">
        <v>41</v>
      </c>
      <c r="F58" s="16" t="s">
        <v>71</v>
      </c>
      <c r="G58" s="17" t="s">
        <v>1316</v>
      </c>
      <c r="H58" s="29" t="s">
        <v>71</v>
      </c>
    </row>
    <row r="59" spans="1:8" ht="48" hidden="1" thickBot="1">
      <c r="A59" s="31">
        <v>45884</v>
      </c>
      <c r="B59" s="20" t="s">
        <v>75</v>
      </c>
      <c r="C59" s="20" t="s">
        <v>1239</v>
      </c>
      <c r="D59" s="20" t="s">
        <v>1240</v>
      </c>
      <c r="E59" s="20" t="s">
        <v>40</v>
      </c>
      <c r="F59" s="20" t="s">
        <v>71</v>
      </c>
      <c r="G59" s="21" t="s">
        <v>1317</v>
      </c>
      <c r="H59" s="30" t="s">
        <v>71</v>
      </c>
    </row>
    <row r="60" spans="1:8" hidden="1">
      <c r="A60" s="98"/>
      <c r="B60" s="14"/>
      <c r="C60" s="14"/>
      <c r="D60" s="14"/>
      <c r="E60" s="14"/>
      <c r="F60" s="14"/>
      <c r="G60" s="32"/>
      <c r="H60" s="14"/>
    </row>
    <row r="61" spans="1:8" hidden="1">
      <c r="A61" s="3" t="s">
        <v>70</v>
      </c>
      <c r="B61" s="4" t="s">
        <v>72</v>
      </c>
      <c r="C61" s="4" t="s">
        <v>16</v>
      </c>
      <c r="D61" s="34" t="s">
        <v>155</v>
      </c>
      <c r="E61" s="9" t="s">
        <v>156</v>
      </c>
      <c r="F61" s="10" t="s">
        <v>157</v>
      </c>
      <c r="G61" s="32"/>
      <c r="H61" s="14"/>
    </row>
    <row r="62" spans="1:8" hidden="1">
      <c r="A62" s="132" t="s">
        <v>63</v>
      </c>
      <c r="B62" s="99" t="s">
        <v>68</v>
      </c>
      <c r="C62" s="99">
        <v>10</v>
      </c>
      <c r="D62" s="99">
        <f>C62</f>
        <v>10</v>
      </c>
      <c r="E62" s="133">
        <f>D62+D64+D66</f>
        <v>11.333333333333334</v>
      </c>
      <c r="F62" s="134">
        <f>E62/12</f>
        <v>0.94444444444444453</v>
      </c>
      <c r="G62" s="32"/>
      <c r="H62" s="14"/>
    </row>
    <row r="63" spans="1:8" hidden="1">
      <c r="A63" s="122"/>
      <c r="B63" s="125" t="s">
        <v>65</v>
      </c>
      <c r="C63" s="125">
        <v>4</v>
      </c>
      <c r="D63" s="35" t="s">
        <v>158</v>
      </c>
      <c r="E63" s="123"/>
      <c r="F63" s="124"/>
      <c r="G63" s="32"/>
      <c r="H63" s="14"/>
    </row>
    <row r="64" spans="1:8" hidden="1">
      <c r="A64" s="122"/>
      <c r="B64" s="125"/>
      <c r="C64" s="125"/>
      <c r="D64" s="16">
        <f>C63/3</f>
        <v>1.3333333333333333</v>
      </c>
      <c r="E64" s="123"/>
      <c r="F64" s="124"/>
      <c r="G64" s="32"/>
      <c r="H64" s="14"/>
    </row>
    <row r="65" spans="1:8" hidden="1">
      <c r="A65" s="122"/>
      <c r="B65" s="125" t="s">
        <v>69</v>
      </c>
      <c r="C65" s="125">
        <v>11</v>
      </c>
      <c r="D65" s="35" t="s">
        <v>159</v>
      </c>
      <c r="E65" s="123"/>
      <c r="F65" s="124"/>
      <c r="G65" s="32"/>
      <c r="H65" s="14"/>
    </row>
    <row r="66" spans="1:8" hidden="1">
      <c r="A66" s="122"/>
      <c r="B66" s="125"/>
      <c r="C66" s="125"/>
      <c r="D66" s="16">
        <v>0</v>
      </c>
      <c r="E66" s="123"/>
      <c r="F66" s="124"/>
      <c r="G66" s="32"/>
      <c r="H66" s="14"/>
    </row>
    <row r="67" spans="1:8" hidden="1">
      <c r="A67" s="36" t="s">
        <v>70</v>
      </c>
      <c r="B67" s="37" t="s">
        <v>72</v>
      </c>
      <c r="C67" s="37" t="s">
        <v>16</v>
      </c>
      <c r="D67" s="126" t="s">
        <v>160</v>
      </c>
      <c r="E67" s="126"/>
      <c r="F67" s="127"/>
      <c r="G67" s="32"/>
      <c r="H67" s="14"/>
    </row>
    <row r="68" spans="1:8" hidden="1">
      <c r="A68" s="122" t="s">
        <v>62</v>
      </c>
      <c r="B68" s="16" t="s">
        <v>68</v>
      </c>
      <c r="C68" s="16">
        <v>3</v>
      </c>
      <c r="D68" s="129">
        <f>C68/9</f>
        <v>0.33333333333333331</v>
      </c>
      <c r="E68" s="129"/>
      <c r="F68" s="124"/>
      <c r="G68" s="32"/>
      <c r="H68" s="14"/>
    </row>
    <row r="69" spans="1:8" ht="16.5" hidden="1" thickBot="1">
      <c r="A69" s="128"/>
      <c r="B69" s="20" t="s">
        <v>69</v>
      </c>
      <c r="C69" s="20">
        <v>2</v>
      </c>
      <c r="D69" s="130"/>
      <c r="E69" s="130"/>
      <c r="F69" s="131"/>
      <c r="G69" s="32"/>
      <c r="H69" s="14"/>
    </row>
    <row r="70" spans="1:8" hidden="1">
      <c r="A70" s="98"/>
      <c r="B70" s="14"/>
      <c r="C70" s="14"/>
      <c r="D70" s="14"/>
      <c r="E70" s="14"/>
      <c r="F70" s="14"/>
      <c r="G70" s="32"/>
      <c r="H70" s="14"/>
    </row>
    <row r="71" spans="1:8" hidden="1">
      <c r="A71" s="14" t="s">
        <v>20</v>
      </c>
      <c r="B71" s="14"/>
      <c r="C71" s="14"/>
      <c r="D71" s="14"/>
      <c r="E71" s="14"/>
      <c r="F71" s="14"/>
      <c r="G71" s="14"/>
      <c r="H71" s="14"/>
    </row>
    <row r="72" spans="1:8" hidden="1">
      <c r="A72" s="3" t="s">
        <v>58</v>
      </c>
      <c r="B72" s="4" t="s">
        <v>67</v>
      </c>
      <c r="C72" s="4" t="s">
        <v>3</v>
      </c>
      <c r="D72" s="4" t="s">
        <v>57</v>
      </c>
      <c r="E72" s="4" t="s">
        <v>59</v>
      </c>
      <c r="F72" s="4" t="s">
        <v>61</v>
      </c>
      <c r="G72" s="4" t="s">
        <v>60</v>
      </c>
      <c r="H72" s="5" t="s">
        <v>66</v>
      </c>
    </row>
    <row r="73" spans="1:8" s="14" customFormat="1" ht="94.5" hidden="1">
      <c r="A73" s="28">
        <v>45887</v>
      </c>
      <c r="B73" s="16" t="s">
        <v>75</v>
      </c>
      <c r="C73" s="16" t="s">
        <v>1233</v>
      </c>
      <c r="D73" s="16" t="s">
        <v>1318</v>
      </c>
      <c r="E73" s="16" t="s">
        <v>40</v>
      </c>
      <c r="F73" s="16" t="s">
        <v>71</v>
      </c>
      <c r="G73" s="17" t="s">
        <v>1319</v>
      </c>
      <c r="H73" s="29" t="s">
        <v>71</v>
      </c>
    </row>
    <row r="74" spans="1:8" s="14" customFormat="1" ht="78.75" hidden="1">
      <c r="A74" s="28">
        <v>45888</v>
      </c>
      <c r="B74" s="16" t="s">
        <v>76</v>
      </c>
      <c r="C74" s="16" t="s">
        <v>1230</v>
      </c>
      <c r="D74" s="16" t="s">
        <v>1320</v>
      </c>
      <c r="E74" s="16" t="s">
        <v>40</v>
      </c>
      <c r="F74" s="16" t="s">
        <v>71</v>
      </c>
      <c r="G74" s="17" t="s">
        <v>1321</v>
      </c>
      <c r="H74" s="29" t="s">
        <v>71</v>
      </c>
    </row>
    <row r="75" spans="1:8" s="14" customFormat="1" ht="47.25" hidden="1">
      <c r="A75" s="28">
        <v>45888</v>
      </c>
      <c r="B75" s="16" t="s">
        <v>75</v>
      </c>
      <c r="C75" s="16" t="s">
        <v>1203</v>
      </c>
      <c r="D75" s="16" t="s">
        <v>1286</v>
      </c>
      <c r="E75" s="16" t="s">
        <v>40</v>
      </c>
      <c r="F75" s="16" t="s">
        <v>71</v>
      </c>
      <c r="G75" s="17" t="s">
        <v>1322</v>
      </c>
      <c r="H75" s="29" t="s">
        <v>71</v>
      </c>
    </row>
    <row r="76" spans="1:8" s="14" customFormat="1" ht="63" hidden="1">
      <c r="A76" s="28">
        <v>45889</v>
      </c>
      <c r="B76" s="16" t="s">
        <v>75</v>
      </c>
      <c r="C76" s="16" t="s">
        <v>1323</v>
      </c>
      <c r="D76" s="16" t="s">
        <v>1324</v>
      </c>
      <c r="E76" s="16" t="s">
        <v>41</v>
      </c>
      <c r="F76" s="16" t="s">
        <v>77</v>
      </c>
      <c r="G76" s="17" t="s">
        <v>1325</v>
      </c>
      <c r="H76" s="29" t="s">
        <v>77</v>
      </c>
    </row>
    <row r="77" spans="1:8" s="14" customFormat="1" ht="47.25" hidden="1">
      <c r="A77" s="28">
        <v>45889</v>
      </c>
      <c r="B77" s="16" t="s">
        <v>75</v>
      </c>
      <c r="C77" s="16" t="s">
        <v>1326</v>
      </c>
      <c r="D77" s="16" t="s">
        <v>1327</v>
      </c>
      <c r="E77" s="16" t="s">
        <v>41</v>
      </c>
      <c r="F77" s="16" t="s">
        <v>64</v>
      </c>
      <c r="G77" s="17" t="s">
        <v>1328</v>
      </c>
      <c r="H77" s="29" t="s">
        <v>64</v>
      </c>
    </row>
    <row r="78" spans="1:8" s="14" customFormat="1" ht="63" hidden="1">
      <c r="A78" s="28">
        <v>45889</v>
      </c>
      <c r="B78" s="16" t="s">
        <v>76</v>
      </c>
      <c r="C78" s="16" t="s">
        <v>1202</v>
      </c>
      <c r="D78" s="16" t="s">
        <v>1329</v>
      </c>
      <c r="E78" s="16" t="s">
        <v>41</v>
      </c>
      <c r="F78" s="16" t="s">
        <v>71</v>
      </c>
      <c r="G78" s="17" t="s">
        <v>1330</v>
      </c>
      <c r="H78" s="29" t="s">
        <v>71</v>
      </c>
    </row>
    <row r="79" spans="1:8" s="14" customFormat="1" hidden="1">
      <c r="A79" s="28">
        <v>45889</v>
      </c>
      <c r="B79" s="16" t="s">
        <v>197</v>
      </c>
      <c r="C79" s="16" t="s">
        <v>1297</v>
      </c>
      <c r="D79" s="16" t="s">
        <v>1331</v>
      </c>
      <c r="E79" s="16" t="s">
        <v>41</v>
      </c>
      <c r="F79" s="16" t="s">
        <v>71</v>
      </c>
      <c r="G79" s="17" t="s">
        <v>1332</v>
      </c>
      <c r="H79" s="29" t="s">
        <v>71</v>
      </c>
    </row>
    <row r="80" spans="1:8" s="14" customFormat="1" ht="31.5" hidden="1">
      <c r="A80" s="28">
        <v>45889</v>
      </c>
      <c r="B80" s="16" t="s">
        <v>197</v>
      </c>
      <c r="C80" s="16" t="s">
        <v>405</v>
      </c>
      <c r="D80" s="16" t="s">
        <v>1333</v>
      </c>
      <c r="E80" s="16" t="s">
        <v>41</v>
      </c>
      <c r="F80" s="16" t="s">
        <v>71</v>
      </c>
      <c r="G80" s="17" t="s">
        <v>1334</v>
      </c>
      <c r="H80" s="29" t="s">
        <v>71</v>
      </c>
    </row>
    <row r="81" spans="1:8" s="14" customFormat="1" ht="31.5" hidden="1">
      <c r="A81" s="28">
        <v>45889</v>
      </c>
      <c r="B81" s="16" t="s">
        <v>197</v>
      </c>
      <c r="C81" s="16" t="s">
        <v>1335</v>
      </c>
      <c r="D81" s="16" t="s">
        <v>1336</v>
      </c>
      <c r="E81" s="16" t="s">
        <v>41</v>
      </c>
      <c r="F81" s="16" t="s">
        <v>71</v>
      </c>
      <c r="G81" s="17" t="s">
        <v>1337</v>
      </c>
      <c r="H81" s="29" t="s">
        <v>71</v>
      </c>
    </row>
    <row r="82" spans="1:8" s="14" customFormat="1" ht="63" hidden="1">
      <c r="A82" s="28">
        <v>45889</v>
      </c>
      <c r="B82" s="16" t="s">
        <v>75</v>
      </c>
      <c r="C82" s="16" t="s">
        <v>1338</v>
      </c>
      <c r="D82" s="16" t="s">
        <v>1339</v>
      </c>
      <c r="E82" s="16" t="s">
        <v>41</v>
      </c>
      <c r="F82" s="16" t="s">
        <v>71</v>
      </c>
      <c r="G82" s="17" t="s">
        <v>1340</v>
      </c>
      <c r="H82" s="29" t="s">
        <v>71</v>
      </c>
    </row>
    <row r="83" spans="1:8" s="14" customFormat="1" hidden="1">
      <c r="A83" s="28">
        <v>45889</v>
      </c>
      <c r="B83" s="16" t="s">
        <v>75</v>
      </c>
      <c r="C83" s="16" t="s">
        <v>1303</v>
      </c>
      <c r="D83" s="16" t="s">
        <v>1341</v>
      </c>
      <c r="E83" s="16" t="s">
        <v>41</v>
      </c>
      <c r="F83" s="16" t="s">
        <v>64</v>
      </c>
      <c r="G83" s="17" t="s">
        <v>1342</v>
      </c>
      <c r="H83" s="29" t="s">
        <v>64</v>
      </c>
    </row>
    <row r="84" spans="1:8" s="14" customFormat="1" hidden="1">
      <c r="A84" s="28">
        <v>45889</v>
      </c>
      <c r="B84" s="16" t="s">
        <v>75</v>
      </c>
      <c r="C84" s="16" t="s">
        <v>1283</v>
      </c>
      <c r="D84" s="16" t="s">
        <v>1284</v>
      </c>
      <c r="E84" s="16" t="s">
        <v>41</v>
      </c>
      <c r="F84" s="16" t="s">
        <v>77</v>
      </c>
      <c r="G84" s="17" t="s">
        <v>129</v>
      </c>
      <c r="H84" s="29" t="s">
        <v>77</v>
      </c>
    </row>
    <row r="85" spans="1:8" s="14" customFormat="1" hidden="1">
      <c r="A85" s="28">
        <v>45889</v>
      </c>
      <c r="B85" s="16" t="s">
        <v>75</v>
      </c>
      <c r="C85" s="16" t="s">
        <v>1261</v>
      </c>
      <c r="D85" s="16" t="s">
        <v>1262</v>
      </c>
      <c r="E85" s="16" t="s">
        <v>41</v>
      </c>
      <c r="F85" s="16" t="s">
        <v>77</v>
      </c>
      <c r="G85" s="17" t="s">
        <v>129</v>
      </c>
      <c r="H85" s="29" t="s">
        <v>77</v>
      </c>
    </row>
    <row r="86" spans="1:8" s="14" customFormat="1" hidden="1">
      <c r="A86" s="28">
        <v>45889</v>
      </c>
      <c r="B86" s="16" t="s">
        <v>76</v>
      </c>
      <c r="C86" s="16" t="s">
        <v>1247</v>
      </c>
      <c r="D86" s="16" t="s">
        <v>1343</v>
      </c>
      <c r="E86" s="16" t="s">
        <v>41</v>
      </c>
      <c r="F86" s="16" t="s">
        <v>71</v>
      </c>
      <c r="G86" s="17" t="s">
        <v>1344</v>
      </c>
      <c r="H86" s="29" t="s">
        <v>71</v>
      </c>
    </row>
    <row r="87" spans="1:8" s="14" customFormat="1" hidden="1">
      <c r="A87" s="28">
        <v>45889</v>
      </c>
      <c r="B87" s="16" t="s">
        <v>75</v>
      </c>
      <c r="C87" s="16" t="s">
        <v>1236</v>
      </c>
      <c r="D87" s="16" t="s">
        <v>1345</v>
      </c>
      <c r="E87" s="16" t="s">
        <v>41</v>
      </c>
      <c r="F87" s="16" t="s">
        <v>64</v>
      </c>
      <c r="G87" s="17" t="s">
        <v>1346</v>
      </c>
      <c r="H87" s="29" t="s">
        <v>64</v>
      </c>
    </row>
    <row r="88" spans="1:8" s="14" customFormat="1" hidden="1">
      <c r="A88" s="28">
        <v>45889</v>
      </c>
      <c r="B88" s="16" t="s">
        <v>75</v>
      </c>
      <c r="C88" s="16" t="s">
        <v>1256</v>
      </c>
      <c r="D88" s="16" t="s">
        <v>1347</v>
      </c>
      <c r="E88" s="16" t="s">
        <v>41</v>
      </c>
      <c r="F88" s="16" t="s">
        <v>77</v>
      </c>
      <c r="G88" s="17" t="s">
        <v>1348</v>
      </c>
      <c r="H88" s="29" t="s">
        <v>77</v>
      </c>
    </row>
    <row r="89" spans="1:8" s="14" customFormat="1" ht="47.25" hidden="1">
      <c r="A89" s="28">
        <v>45890</v>
      </c>
      <c r="B89" s="16" t="s">
        <v>197</v>
      </c>
      <c r="C89" s="16" t="s">
        <v>1236</v>
      </c>
      <c r="D89" s="16" t="s">
        <v>1349</v>
      </c>
      <c r="E89" s="16" t="s">
        <v>40</v>
      </c>
      <c r="F89" s="16" t="s">
        <v>71</v>
      </c>
      <c r="G89" s="17" t="s">
        <v>1350</v>
      </c>
      <c r="H89" s="29" t="s">
        <v>71</v>
      </c>
    </row>
    <row r="90" spans="1:8" s="14" customFormat="1" ht="63" hidden="1">
      <c r="A90" s="28">
        <v>45890</v>
      </c>
      <c r="B90" s="16" t="s">
        <v>76</v>
      </c>
      <c r="C90" s="16" t="s">
        <v>1247</v>
      </c>
      <c r="D90" s="16" t="s">
        <v>1351</v>
      </c>
      <c r="E90" s="16" t="s">
        <v>40</v>
      </c>
      <c r="F90" s="16" t="s">
        <v>71</v>
      </c>
      <c r="G90" s="17" t="s">
        <v>1352</v>
      </c>
      <c r="H90" s="29" t="s">
        <v>71</v>
      </c>
    </row>
    <row r="91" spans="1:8" s="14" customFormat="1" ht="47.25" hidden="1">
      <c r="A91" s="28">
        <v>45890</v>
      </c>
      <c r="B91" s="16" t="s">
        <v>76</v>
      </c>
      <c r="C91" s="16" t="s">
        <v>1297</v>
      </c>
      <c r="D91" s="16" t="s">
        <v>1298</v>
      </c>
      <c r="E91" s="16" t="s">
        <v>40</v>
      </c>
      <c r="F91" s="16" t="s">
        <v>71</v>
      </c>
      <c r="G91" s="17" t="s">
        <v>1353</v>
      </c>
      <c r="H91" s="29" t="s">
        <v>71</v>
      </c>
    </row>
    <row r="92" spans="1:8" s="14" customFormat="1" ht="78.75" hidden="1">
      <c r="A92" s="28">
        <v>45891</v>
      </c>
      <c r="B92" s="16" t="s">
        <v>75</v>
      </c>
      <c r="C92" s="16" t="s">
        <v>1280</v>
      </c>
      <c r="D92" s="16" t="s">
        <v>1354</v>
      </c>
      <c r="E92" s="16" t="s">
        <v>40</v>
      </c>
      <c r="F92" s="16" t="s">
        <v>77</v>
      </c>
      <c r="G92" s="17" t="s">
        <v>1355</v>
      </c>
      <c r="H92" s="29" t="s">
        <v>77</v>
      </c>
    </row>
    <row r="93" spans="1:8" s="14" customFormat="1" ht="31.5" hidden="1">
      <c r="A93" s="28">
        <v>45891</v>
      </c>
      <c r="B93" s="16" t="s">
        <v>197</v>
      </c>
      <c r="C93" s="16" t="s">
        <v>1356</v>
      </c>
      <c r="D93" s="16" t="s">
        <v>539</v>
      </c>
      <c r="E93" s="16" t="s">
        <v>41</v>
      </c>
      <c r="F93" s="16" t="s">
        <v>71</v>
      </c>
      <c r="G93" s="17" t="s">
        <v>1357</v>
      </c>
      <c r="H93" s="29" t="s">
        <v>71</v>
      </c>
    </row>
    <row r="94" spans="1:8" s="14" customFormat="1" hidden="1">
      <c r="A94" s="28">
        <v>45891</v>
      </c>
      <c r="B94" s="16" t="s">
        <v>75</v>
      </c>
      <c r="C94" s="16" t="s">
        <v>1358</v>
      </c>
      <c r="D94" s="16" t="s">
        <v>206</v>
      </c>
      <c r="E94" s="16" t="s">
        <v>41</v>
      </c>
      <c r="F94" s="16" t="s">
        <v>77</v>
      </c>
      <c r="G94" s="17" t="s">
        <v>1359</v>
      </c>
      <c r="H94" s="29" t="s">
        <v>77</v>
      </c>
    </row>
    <row r="95" spans="1:8" s="14" customFormat="1" ht="31.5" hidden="1">
      <c r="A95" s="28">
        <v>45891</v>
      </c>
      <c r="B95" s="16" t="s">
        <v>75</v>
      </c>
      <c r="C95" s="16" t="s">
        <v>1360</v>
      </c>
      <c r="D95" s="16" t="s">
        <v>1361</v>
      </c>
      <c r="E95" s="16" t="s">
        <v>41</v>
      </c>
      <c r="F95" s="16" t="s">
        <v>71</v>
      </c>
      <c r="G95" s="17" t="s">
        <v>1362</v>
      </c>
      <c r="H95" s="29" t="s">
        <v>64</v>
      </c>
    </row>
    <row r="96" spans="1:8" s="14" customFormat="1" ht="31.5" hidden="1">
      <c r="A96" s="28">
        <v>45891</v>
      </c>
      <c r="B96" s="16" t="s">
        <v>75</v>
      </c>
      <c r="C96" s="16" t="s">
        <v>1363</v>
      </c>
      <c r="D96" s="16" t="s">
        <v>206</v>
      </c>
      <c r="E96" s="16" t="s">
        <v>41</v>
      </c>
      <c r="F96" s="16" t="s">
        <v>77</v>
      </c>
      <c r="G96" s="17" t="s">
        <v>1364</v>
      </c>
      <c r="H96" s="29" t="s">
        <v>77</v>
      </c>
    </row>
    <row r="97" spans="1:8" s="14" customFormat="1" ht="63" hidden="1">
      <c r="A97" s="28">
        <v>45891</v>
      </c>
      <c r="B97" s="16" t="s">
        <v>75</v>
      </c>
      <c r="C97" s="16" t="s">
        <v>1365</v>
      </c>
      <c r="D97" s="16" t="s">
        <v>1366</v>
      </c>
      <c r="E97" s="16" t="s">
        <v>41</v>
      </c>
      <c r="F97" s="16" t="s">
        <v>77</v>
      </c>
      <c r="G97" s="17" t="s">
        <v>1367</v>
      </c>
      <c r="H97" s="29" t="s">
        <v>77</v>
      </c>
    </row>
    <row r="98" spans="1:8" s="14" customFormat="1" ht="31.5" hidden="1">
      <c r="A98" s="28">
        <v>45891</v>
      </c>
      <c r="B98" s="16" t="s">
        <v>75</v>
      </c>
      <c r="C98" s="16" t="s">
        <v>1368</v>
      </c>
      <c r="D98" s="16" t="s">
        <v>1369</v>
      </c>
      <c r="E98" s="16" t="s">
        <v>41</v>
      </c>
      <c r="F98" s="16" t="s">
        <v>77</v>
      </c>
      <c r="G98" s="17" t="s">
        <v>1370</v>
      </c>
      <c r="H98" s="29" t="s">
        <v>77</v>
      </c>
    </row>
    <row r="99" spans="1:8" s="14" customFormat="1" hidden="1">
      <c r="A99" s="94">
        <v>45891</v>
      </c>
      <c r="B99" s="24" t="s">
        <v>75</v>
      </c>
      <c r="C99" s="24" t="s">
        <v>979</v>
      </c>
      <c r="D99" s="24" t="s">
        <v>990</v>
      </c>
      <c r="E99" s="24" t="s">
        <v>41</v>
      </c>
      <c r="F99" s="24" t="s">
        <v>77</v>
      </c>
      <c r="G99" s="25" t="s">
        <v>129</v>
      </c>
      <c r="H99" s="29" t="s">
        <v>77</v>
      </c>
    </row>
    <row r="100" spans="1:8" s="14" customFormat="1" hidden="1">
      <c r="A100" s="94">
        <v>45891</v>
      </c>
      <c r="B100" s="24" t="s">
        <v>75</v>
      </c>
      <c r="C100" s="24" t="s">
        <v>1261</v>
      </c>
      <c r="D100" s="24" t="s">
        <v>1371</v>
      </c>
      <c r="E100" s="24" t="s">
        <v>41</v>
      </c>
      <c r="F100" s="24" t="s">
        <v>77</v>
      </c>
      <c r="G100" s="25" t="s">
        <v>129</v>
      </c>
      <c r="H100" s="29" t="s">
        <v>77</v>
      </c>
    </row>
    <row r="101" spans="1:8" s="14" customFormat="1" ht="16.5" hidden="1" thickBot="1">
      <c r="A101" s="31">
        <v>45891</v>
      </c>
      <c r="B101" s="20" t="s">
        <v>75</v>
      </c>
      <c r="C101" s="20" t="s">
        <v>1294</v>
      </c>
      <c r="D101" s="20" t="s">
        <v>1295</v>
      </c>
      <c r="E101" s="20" t="s">
        <v>41</v>
      </c>
      <c r="F101" s="20" t="s">
        <v>77</v>
      </c>
      <c r="G101" s="21" t="s">
        <v>1372</v>
      </c>
      <c r="H101" s="30" t="s">
        <v>77</v>
      </c>
    </row>
    <row r="102" spans="1:8" s="14" customFormat="1" hidden="1">
      <c r="A102" s="98"/>
      <c r="G102" s="32"/>
    </row>
    <row r="103" spans="1:8" s="14" customFormat="1" hidden="1">
      <c r="A103" s="3" t="s">
        <v>70</v>
      </c>
      <c r="B103" s="4" t="s">
        <v>72</v>
      </c>
      <c r="C103" s="4" t="s">
        <v>16</v>
      </c>
      <c r="D103" s="34" t="s">
        <v>155</v>
      </c>
      <c r="E103" s="9" t="s">
        <v>156</v>
      </c>
      <c r="F103" s="10" t="s">
        <v>157</v>
      </c>
    </row>
    <row r="104" spans="1:8" s="14" customFormat="1" hidden="1">
      <c r="A104" s="132" t="s">
        <v>63</v>
      </c>
      <c r="B104" s="99" t="s">
        <v>68</v>
      </c>
      <c r="C104" s="99">
        <v>8</v>
      </c>
      <c r="D104" s="99">
        <f>C104</f>
        <v>8</v>
      </c>
      <c r="E104" s="133">
        <f>D104+D106+D108</f>
        <v>9</v>
      </c>
      <c r="F104" s="134">
        <f>E104/12</f>
        <v>0.75</v>
      </c>
    </row>
    <row r="105" spans="1:8" s="14" customFormat="1" hidden="1">
      <c r="A105" s="122"/>
      <c r="B105" s="125" t="s">
        <v>65</v>
      </c>
      <c r="C105" s="125">
        <v>3</v>
      </c>
      <c r="D105" s="35" t="s">
        <v>158</v>
      </c>
      <c r="E105" s="123"/>
      <c r="F105" s="124"/>
    </row>
    <row r="106" spans="1:8" s="14" customFormat="1" hidden="1">
      <c r="A106" s="122"/>
      <c r="B106" s="125"/>
      <c r="C106" s="125"/>
      <c r="D106" s="16">
        <f>C105/3</f>
        <v>1</v>
      </c>
      <c r="E106" s="123"/>
      <c r="F106" s="124"/>
    </row>
    <row r="107" spans="1:8" s="14" customFormat="1" hidden="1">
      <c r="A107" s="122"/>
      <c r="B107" s="125" t="s">
        <v>69</v>
      </c>
      <c r="C107" s="125">
        <v>11</v>
      </c>
      <c r="D107" s="35" t="s">
        <v>159</v>
      </c>
      <c r="E107" s="123"/>
      <c r="F107" s="124"/>
    </row>
    <row r="108" spans="1:8" s="14" customFormat="1" hidden="1">
      <c r="A108" s="122"/>
      <c r="B108" s="125"/>
      <c r="C108" s="125"/>
      <c r="D108" s="16">
        <v>0</v>
      </c>
      <c r="E108" s="123"/>
      <c r="F108" s="124"/>
    </row>
    <row r="109" spans="1:8" s="14" customFormat="1" hidden="1">
      <c r="A109" s="36" t="s">
        <v>70</v>
      </c>
      <c r="B109" s="37" t="s">
        <v>72</v>
      </c>
      <c r="C109" s="37" t="s">
        <v>16</v>
      </c>
      <c r="D109" s="126" t="s">
        <v>160</v>
      </c>
      <c r="E109" s="126"/>
      <c r="F109" s="127"/>
    </row>
    <row r="110" spans="1:8" s="14" customFormat="1" hidden="1">
      <c r="A110" s="122" t="s">
        <v>62</v>
      </c>
      <c r="B110" s="16" t="s">
        <v>68</v>
      </c>
      <c r="C110" s="16">
        <v>6</v>
      </c>
      <c r="D110" s="129">
        <f>C110/9</f>
        <v>0.66666666666666663</v>
      </c>
      <c r="E110" s="129"/>
      <c r="F110" s="124"/>
    </row>
    <row r="111" spans="1:8" s="14" customFormat="1" ht="16.5" hidden="1" thickBot="1">
      <c r="A111" s="128"/>
      <c r="B111" s="20" t="s">
        <v>69</v>
      </c>
      <c r="C111" s="20">
        <v>1</v>
      </c>
      <c r="D111" s="130"/>
      <c r="E111" s="130"/>
      <c r="F111" s="131"/>
    </row>
    <row r="112" spans="1:8" hidden="1"/>
    <row r="113" spans="1:8" hidden="1">
      <c r="A113" s="14" t="s">
        <v>22</v>
      </c>
      <c r="B113" s="14"/>
      <c r="C113" s="14"/>
      <c r="D113" s="14"/>
      <c r="E113" s="14"/>
      <c r="F113" s="14"/>
      <c r="G113" s="14"/>
      <c r="H113" s="14"/>
    </row>
    <row r="114" spans="1:8" hidden="1">
      <c r="A114" s="3" t="s">
        <v>58</v>
      </c>
      <c r="B114" s="4" t="s">
        <v>67</v>
      </c>
      <c r="C114" s="4" t="s">
        <v>3</v>
      </c>
      <c r="D114" s="4" t="s">
        <v>57</v>
      </c>
      <c r="E114" s="4" t="s">
        <v>59</v>
      </c>
      <c r="F114" s="4" t="s">
        <v>61</v>
      </c>
      <c r="G114" s="4" t="s">
        <v>60</v>
      </c>
      <c r="H114" s="5" t="s">
        <v>66</v>
      </c>
    </row>
    <row r="115" spans="1:8" ht="63" hidden="1">
      <c r="A115" s="28">
        <v>45894</v>
      </c>
      <c r="B115" s="16" t="s">
        <v>197</v>
      </c>
      <c r="C115" s="16" t="s">
        <v>1373</v>
      </c>
      <c r="D115" s="16" t="s">
        <v>1374</v>
      </c>
      <c r="E115" s="16" t="s">
        <v>41</v>
      </c>
      <c r="F115" s="16" t="s">
        <v>71</v>
      </c>
      <c r="G115" s="17" t="s">
        <v>1375</v>
      </c>
      <c r="H115" s="29"/>
    </row>
    <row r="116" spans="1:8" ht="63" hidden="1">
      <c r="A116" s="28">
        <v>45894</v>
      </c>
      <c r="B116" s="16" t="s">
        <v>197</v>
      </c>
      <c r="C116" s="16" t="s">
        <v>1376</v>
      </c>
      <c r="D116" s="16" t="s">
        <v>1377</v>
      </c>
      <c r="E116" s="16" t="s">
        <v>41</v>
      </c>
      <c r="F116" s="16" t="s">
        <v>71</v>
      </c>
      <c r="G116" s="17" t="s">
        <v>1378</v>
      </c>
      <c r="H116" s="29"/>
    </row>
    <row r="117" spans="1:8" ht="47.25" hidden="1">
      <c r="A117" s="28">
        <v>45894</v>
      </c>
      <c r="B117" s="16" t="s">
        <v>197</v>
      </c>
      <c r="C117" s="16" t="s">
        <v>1379</v>
      </c>
      <c r="D117" s="16" t="s">
        <v>1377</v>
      </c>
      <c r="E117" s="16" t="s">
        <v>41</v>
      </c>
      <c r="F117" s="16" t="s">
        <v>71</v>
      </c>
      <c r="G117" s="17" t="s">
        <v>1380</v>
      </c>
      <c r="H117" s="29"/>
    </row>
    <row r="118" spans="1:8" ht="47.25" hidden="1">
      <c r="A118" s="28">
        <v>45894</v>
      </c>
      <c r="B118" s="16" t="s">
        <v>197</v>
      </c>
      <c r="C118" s="16" t="s">
        <v>881</v>
      </c>
      <c r="D118" s="16" t="s">
        <v>888</v>
      </c>
      <c r="E118" s="16" t="s">
        <v>41</v>
      </c>
      <c r="F118" s="16" t="s">
        <v>71</v>
      </c>
      <c r="G118" s="17" t="s">
        <v>1381</v>
      </c>
      <c r="H118" s="29"/>
    </row>
    <row r="119" spans="1:8" ht="47.25" hidden="1">
      <c r="A119" s="28">
        <v>45894</v>
      </c>
      <c r="B119" s="16" t="s">
        <v>197</v>
      </c>
      <c r="C119" s="16" t="s">
        <v>407</v>
      </c>
      <c r="D119" s="16" t="s">
        <v>423</v>
      </c>
      <c r="E119" s="16" t="s">
        <v>41</v>
      </c>
      <c r="F119" s="16" t="s">
        <v>71</v>
      </c>
      <c r="G119" s="17" t="s">
        <v>1382</v>
      </c>
      <c r="H119" s="29"/>
    </row>
    <row r="120" spans="1:8" hidden="1">
      <c r="A120" s="28">
        <v>45895</v>
      </c>
      <c r="B120" s="16" t="s">
        <v>75</v>
      </c>
      <c r="C120" s="16" t="s">
        <v>1283</v>
      </c>
      <c r="D120" s="16" t="s">
        <v>1284</v>
      </c>
      <c r="E120" s="16" t="s">
        <v>41</v>
      </c>
      <c r="F120" s="16" t="s">
        <v>77</v>
      </c>
      <c r="G120" s="17" t="s">
        <v>129</v>
      </c>
      <c r="H120" s="29"/>
    </row>
    <row r="121" spans="1:8" ht="94.5" hidden="1">
      <c r="A121" s="28">
        <v>45895</v>
      </c>
      <c r="B121" s="16" t="s">
        <v>75</v>
      </c>
      <c r="C121" s="16" t="s">
        <v>408</v>
      </c>
      <c r="D121" s="16" t="s">
        <v>1383</v>
      </c>
      <c r="E121" s="16" t="s">
        <v>41</v>
      </c>
      <c r="F121" s="16" t="s">
        <v>71</v>
      </c>
      <c r="G121" s="17" t="s">
        <v>1384</v>
      </c>
      <c r="H121" s="29"/>
    </row>
    <row r="122" spans="1:8" hidden="1">
      <c r="A122" s="28">
        <v>45895</v>
      </c>
      <c r="B122" s="16" t="s">
        <v>75</v>
      </c>
      <c r="C122" s="16" t="s">
        <v>1261</v>
      </c>
      <c r="D122" s="16" t="s">
        <v>1371</v>
      </c>
      <c r="E122" s="16" t="s">
        <v>41</v>
      </c>
      <c r="F122" s="16" t="s">
        <v>77</v>
      </c>
      <c r="G122" s="17" t="s">
        <v>1385</v>
      </c>
      <c r="H122" s="29"/>
    </row>
    <row r="123" spans="1:8" hidden="1">
      <c r="A123" s="28">
        <v>45895</v>
      </c>
      <c r="B123" s="16" t="s">
        <v>75</v>
      </c>
      <c r="C123" s="16" t="s">
        <v>1386</v>
      </c>
      <c r="D123" s="16" t="s">
        <v>1387</v>
      </c>
      <c r="E123" s="16" t="s">
        <v>41</v>
      </c>
      <c r="F123" s="16" t="s">
        <v>77</v>
      </c>
      <c r="G123" s="17" t="s">
        <v>1385</v>
      </c>
      <c r="H123" s="29"/>
    </row>
    <row r="124" spans="1:8" hidden="1">
      <c r="A124" s="28">
        <v>45895</v>
      </c>
      <c r="B124" s="16" t="s">
        <v>75</v>
      </c>
      <c r="C124" s="16" t="s">
        <v>92</v>
      </c>
      <c r="D124" s="16" t="s">
        <v>1388</v>
      </c>
      <c r="E124" s="16" t="s">
        <v>41</v>
      </c>
      <c r="F124" s="16" t="s">
        <v>77</v>
      </c>
      <c r="G124" s="17" t="s">
        <v>1385</v>
      </c>
      <c r="H124" s="29"/>
    </row>
    <row r="125" spans="1:8" ht="31.5" hidden="1">
      <c r="A125" s="28">
        <v>45895</v>
      </c>
      <c r="B125" s="16" t="s">
        <v>75</v>
      </c>
      <c r="C125" s="16" t="s">
        <v>1338</v>
      </c>
      <c r="D125" s="16" t="s">
        <v>1389</v>
      </c>
      <c r="E125" s="16" t="s">
        <v>41</v>
      </c>
      <c r="F125" s="16" t="s">
        <v>64</v>
      </c>
      <c r="G125" s="17" t="s">
        <v>1390</v>
      </c>
      <c r="H125" s="29"/>
    </row>
    <row r="126" spans="1:8" hidden="1">
      <c r="A126" s="28">
        <v>45895</v>
      </c>
      <c r="B126" s="16" t="s">
        <v>75</v>
      </c>
      <c r="C126" s="16" t="s">
        <v>1391</v>
      </c>
      <c r="D126" s="16" t="s">
        <v>1366</v>
      </c>
      <c r="E126" s="16" t="s">
        <v>41</v>
      </c>
      <c r="F126" s="16" t="s">
        <v>77</v>
      </c>
      <c r="G126" s="17" t="s">
        <v>1392</v>
      </c>
      <c r="H126" s="29"/>
    </row>
    <row r="127" spans="1:8" hidden="1">
      <c r="A127" s="28">
        <v>45895</v>
      </c>
      <c r="B127" s="16" t="s">
        <v>75</v>
      </c>
      <c r="C127" s="16" t="s">
        <v>1393</v>
      </c>
      <c r="D127" s="16" t="s">
        <v>1394</v>
      </c>
      <c r="E127" s="16" t="s">
        <v>41</v>
      </c>
      <c r="F127" s="16" t="s">
        <v>77</v>
      </c>
      <c r="G127" s="17" t="s">
        <v>1385</v>
      </c>
      <c r="H127" s="29"/>
    </row>
    <row r="128" spans="1:8" hidden="1">
      <c r="A128" s="28">
        <v>45895</v>
      </c>
      <c r="B128" s="16" t="s">
        <v>75</v>
      </c>
      <c r="C128" s="16" t="s">
        <v>1358</v>
      </c>
      <c r="D128" s="16" t="s">
        <v>206</v>
      </c>
      <c r="E128" s="16" t="s">
        <v>41</v>
      </c>
      <c r="F128" s="16" t="s">
        <v>77</v>
      </c>
      <c r="G128" s="17" t="s">
        <v>1395</v>
      </c>
      <c r="H128" s="29"/>
    </row>
    <row r="129" spans="1:8" hidden="1">
      <c r="A129" s="28">
        <v>45895</v>
      </c>
      <c r="B129" s="16" t="s">
        <v>75</v>
      </c>
      <c r="C129" s="16" t="s">
        <v>1363</v>
      </c>
      <c r="D129" s="16" t="s">
        <v>206</v>
      </c>
      <c r="E129" s="16" t="s">
        <v>41</v>
      </c>
      <c r="F129" s="16" t="s">
        <v>77</v>
      </c>
      <c r="G129" s="17" t="s">
        <v>1395</v>
      </c>
      <c r="H129" s="29"/>
    </row>
    <row r="130" spans="1:8" hidden="1">
      <c r="A130" s="28">
        <v>45895</v>
      </c>
      <c r="B130" s="16" t="s">
        <v>75</v>
      </c>
      <c r="C130" s="16" t="s">
        <v>1368</v>
      </c>
      <c r="D130" s="16" t="s">
        <v>1369</v>
      </c>
      <c r="E130" s="16" t="s">
        <v>41</v>
      </c>
      <c r="F130" s="16" t="s">
        <v>77</v>
      </c>
      <c r="G130" s="17" t="s">
        <v>1396</v>
      </c>
      <c r="H130" s="29"/>
    </row>
    <row r="131" spans="1:8" ht="78.75" hidden="1">
      <c r="A131" s="28">
        <v>45895</v>
      </c>
      <c r="B131" s="16" t="s">
        <v>75</v>
      </c>
      <c r="C131" s="16" t="s">
        <v>1397</v>
      </c>
      <c r="D131" s="16" t="s">
        <v>1398</v>
      </c>
      <c r="E131" s="16" t="s">
        <v>41</v>
      </c>
      <c r="F131" s="16" t="s">
        <v>64</v>
      </c>
      <c r="G131" s="11" t="s">
        <v>1399</v>
      </c>
      <c r="H131" s="29"/>
    </row>
    <row r="132" spans="1:8" hidden="1">
      <c r="A132" s="28">
        <v>45895</v>
      </c>
      <c r="B132" s="16" t="s">
        <v>75</v>
      </c>
      <c r="C132" s="16" t="s">
        <v>1227</v>
      </c>
      <c r="D132" s="16" t="s">
        <v>1275</v>
      </c>
      <c r="E132" s="16" t="s">
        <v>41</v>
      </c>
      <c r="F132" s="16" t="s">
        <v>77</v>
      </c>
      <c r="G132" s="17" t="s">
        <v>1400</v>
      </c>
      <c r="H132" s="29"/>
    </row>
    <row r="133" spans="1:8" hidden="1">
      <c r="A133" s="28">
        <v>45896</v>
      </c>
      <c r="B133" s="16" t="s">
        <v>75</v>
      </c>
      <c r="C133" s="16" t="s">
        <v>1338</v>
      </c>
      <c r="D133" s="16" t="s">
        <v>1389</v>
      </c>
      <c r="E133" s="16" t="s">
        <v>40</v>
      </c>
      <c r="F133" s="16" t="s">
        <v>71</v>
      </c>
      <c r="G133" s="17"/>
      <c r="H133" s="29"/>
    </row>
    <row r="134" spans="1:8" hidden="1">
      <c r="A134" s="28">
        <v>45896</v>
      </c>
      <c r="B134" s="16" t="s">
        <v>75</v>
      </c>
      <c r="C134" s="16" t="s">
        <v>1247</v>
      </c>
      <c r="D134" s="16" t="s">
        <v>1266</v>
      </c>
      <c r="E134" s="16" t="s">
        <v>40</v>
      </c>
      <c r="F134" s="16" t="s">
        <v>71</v>
      </c>
      <c r="G134" s="17"/>
      <c r="H134" s="29"/>
    </row>
    <row r="135" spans="1:8" hidden="1">
      <c r="A135" s="28">
        <v>45897</v>
      </c>
      <c r="B135" s="16" t="s">
        <v>75</v>
      </c>
      <c r="C135" s="93" t="s">
        <v>1401</v>
      </c>
      <c r="D135" s="16" t="s">
        <v>1402</v>
      </c>
      <c r="E135" s="16" t="s">
        <v>41</v>
      </c>
      <c r="F135" s="16" t="s">
        <v>77</v>
      </c>
      <c r="G135" s="17" t="s">
        <v>1403</v>
      </c>
      <c r="H135" s="29"/>
    </row>
    <row r="136" spans="1:8" ht="31.5" hidden="1">
      <c r="A136" s="28">
        <v>45897</v>
      </c>
      <c r="B136" s="16" t="s">
        <v>91</v>
      </c>
      <c r="C136" s="93" t="s">
        <v>1404</v>
      </c>
      <c r="D136" s="16" t="s">
        <v>1405</v>
      </c>
      <c r="E136" s="16" t="s">
        <v>41</v>
      </c>
      <c r="F136" s="16" t="s">
        <v>77</v>
      </c>
      <c r="G136" s="17" t="s">
        <v>1406</v>
      </c>
      <c r="H136" s="29"/>
    </row>
    <row r="137" spans="1:8" ht="31.5" hidden="1">
      <c r="A137" s="28">
        <v>45897</v>
      </c>
      <c r="B137" s="16" t="s">
        <v>75</v>
      </c>
      <c r="C137" s="93" t="s">
        <v>92</v>
      </c>
      <c r="D137" s="16" t="s">
        <v>1388</v>
      </c>
      <c r="E137" s="16" t="s">
        <v>41</v>
      </c>
      <c r="F137" s="16" t="s">
        <v>77</v>
      </c>
      <c r="G137" s="17" t="s">
        <v>1407</v>
      </c>
      <c r="H137" s="29"/>
    </row>
    <row r="138" spans="1:8" hidden="1">
      <c r="A138" s="28">
        <v>45897</v>
      </c>
      <c r="B138" s="16" t="s">
        <v>75</v>
      </c>
      <c r="C138" s="93" t="s">
        <v>1386</v>
      </c>
      <c r="D138" s="16" t="s">
        <v>1387</v>
      </c>
      <c r="E138" s="16" t="s">
        <v>41</v>
      </c>
      <c r="F138" s="16" t="s">
        <v>77</v>
      </c>
      <c r="G138" s="17" t="s">
        <v>1385</v>
      </c>
      <c r="H138" s="29"/>
    </row>
    <row r="139" spans="1:8" hidden="1">
      <c r="A139" s="28">
        <v>45897</v>
      </c>
      <c r="B139" s="16" t="s">
        <v>75</v>
      </c>
      <c r="C139" s="93" t="s">
        <v>1283</v>
      </c>
      <c r="D139" s="16" t="s">
        <v>1408</v>
      </c>
      <c r="E139" s="16" t="s">
        <v>41</v>
      </c>
      <c r="F139" s="16" t="s">
        <v>77</v>
      </c>
      <c r="G139" s="17" t="s">
        <v>1385</v>
      </c>
      <c r="H139" s="29"/>
    </row>
    <row r="140" spans="1:8" hidden="1">
      <c r="A140" s="28">
        <v>45897</v>
      </c>
      <c r="B140" s="16" t="s">
        <v>75</v>
      </c>
      <c r="C140" s="93" t="s">
        <v>1261</v>
      </c>
      <c r="D140" s="16" t="s">
        <v>1371</v>
      </c>
      <c r="E140" s="16" t="s">
        <v>41</v>
      </c>
      <c r="F140" s="16" t="s">
        <v>77</v>
      </c>
      <c r="G140" s="17" t="s">
        <v>1385</v>
      </c>
      <c r="H140" s="29"/>
    </row>
    <row r="141" spans="1:8" hidden="1">
      <c r="A141" s="28">
        <v>45897</v>
      </c>
      <c r="B141" s="16" t="s">
        <v>75</v>
      </c>
      <c r="C141" s="93" t="s">
        <v>1222</v>
      </c>
      <c r="D141" s="16" t="s">
        <v>1409</v>
      </c>
      <c r="E141" s="16" t="s">
        <v>41</v>
      </c>
      <c r="F141" s="16" t="s">
        <v>77</v>
      </c>
      <c r="G141" s="17" t="s">
        <v>1410</v>
      </c>
      <c r="H141" s="29"/>
    </row>
    <row r="142" spans="1:8" ht="47.25" hidden="1">
      <c r="A142" s="28">
        <v>45897</v>
      </c>
      <c r="B142" s="16" t="s">
        <v>75</v>
      </c>
      <c r="C142" s="93" t="s">
        <v>1202</v>
      </c>
      <c r="D142" s="16" t="s">
        <v>1411</v>
      </c>
      <c r="E142" s="16" t="s">
        <v>41</v>
      </c>
      <c r="F142" s="16" t="s">
        <v>71</v>
      </c>
      <c r="G142" s="17" t="s">
        <v>1412</v>
      </c>
      <c r="H142" s="29"/>
    </row>
    <row r="143" spans="1:8" ht="94.5" hidden="1">
      <c r="A143" s="28">
        <v>45897</v>
      </c>
      <c r="B143" s="16" t="s">
        <v>197</v>
      </c>
      <c r="C143" s="93" t="s">
        <v>533</v>
      </c>
      <c r="D143" s="16" t="s">
        <v>541</v>
      </c>
      <c r="E143" s="16" t="s">
        <v>41</v>
      </c>
      <c r="F143" s="16" t="s">
        <v>71</v>
      </c>
      <c r="G143" s="17" t="s">
        <v>1413</v>
      </c>
      <c r="H143" s="29"/>
    </row>
    <row r="144" spans="1:8" ht="78.75" hidden="1">
      <c r="A144" s="28">
        <v>45897</v>
      </c>
      <c r="B144" s="16" t="s">
        <v>75</v>
      </c>
      <c r="C144" s="93" t="s">
        <v>1414</v>
      </c>
      <c r="D144" s="16" t="s">
        <v>1415</v>
      </c>
      <c r="E144" s="16" t="s">
        <v>41</v>
      </c>
      <c r="F144" s="16" t="s">
        <v>77</v>
      </c>
      <c r="G144" s="17" t="s">
        <v>1416</v>
      </c>
      <c r="H144" s="29"/>
    </row>
    <row r="145" spans="1:8" hidden="1">
      <c r="A145" s="28">
        <v>45898</v>
      </c>
      <c r="B145" s="16" t="s">
        <v>75</v>
      </c>
      <c r="C145" s="16" t="s">
        <v>92</v>
      </c>
      <c r="D145" s="16" t="s">
        <v>1417</v>
      </c>
      <c r="E145" s="16" t="s">
        <v>41</v>
      </c>
      <c r="F145" s="16" t="s">
        <v>77</v>
      </c>
      <c r="G145" s="17" t="s">
        <v>1418</v>
      </c>
      <c r="H145" s="29"/>
    </row>
    <row r="146" spans="1:8" hidden="1">
      <c r="A146" s="94">
        <v>45898</v>
      </c>
      <c r="B146" s="24" t="s">
        <v>75</v>
      </c>
      <c r="C146" s="24" t="s">
        <v>1419</v>
      </c>
      <c r="D146" s="24" t="s">
        <v>1420</v>
      </c>
      <c r="E146" s="24" t="s">
        <v>41</v>
      </c>
      <c r="F146" s="24" t="s">
        <v>77</v>
      </c>
      <c r="G146" s="25" t="s">
        <v>1421</v>
      </c>
      <c r="H146" s="39"/>
    </row>
    <row r="147" spans="1:8" ht="173.25" hidden="1">
      <c r="A147" s="94">
        <v>45898</v>
      </c>
      <c r="B147" s="24" t="s">
        <v>91</v>
      </c>
      <c r="C147" s="24" t="s">
        <v>1397</v>
      </c>
      <c r="D147" s="24" t="s">
        <v>1422</v>
      </c>
      <c r="E147" s="24" t="s">
        <v>40</v>
      </c>
      <c r="F147" s="24" t="s">
        <v>71</v>
      </c>
      <c r="G147" s="25" t="s">
        <v>1423</v>
      </c>
      <c r="H147" s="39"/>
    </row>
    <row r="148" spans="1:8" hidden="1">
      <c r="A148" s="94">
        <v>45897</v>
      </c>
      <c r="B148" s="24" t="s">
        <v>197</v>
      </c>
      <c r="C148" s="24" t="s">
        <v>1203</v>
      </c>
      <c r="D148" s="24" t="s">
        <v>1286</v>
      </c>
      <c r="E148" s="24" t="s">
        <v>40</v>
      </c>
      <c r="F148" s="24" t="s">
        <v>71</v>
      </c>
      <c r="G148" s="25" t="s">
        <v>1424</v>
      </c>
      <c r="H148" s="39"/>
    </row>
    <row r="149" spans="1:8" ht="95.25" hidden="1" thickBot="1">
      <c r="A149" s="31">
        <v>45898</v>
      </c>
      <c r="B149" s="20" t="s">
        <v>75</v>
      </c>
      <c r="C149" s="20" t="s">
        <v>1425</v>
      </c>
      <c r="D149" s="20" t="s">
        <v>1426</v>
      </c>
      <c r="E149" s="20" t="s">
        <v>40</v>
      </c>
      <c r="F149" s="20" t="s">
        <v>71</v>
      </c>
      <c r="G149" s="21" t="s">
        <v>1427</v>
      </c>
      <c r="H149" s="30"/>
    </row>
    <row r="150" spans="1:8" hidden="1"/>
    <row r="151" spans="1:8" hidden="1">
      <c r="A151" s="3" t="s">
        <v>70</v>
      </c>
      <c r="B151" s="4" t="s">
        <v>72</v>
      </c>
      <c r="C151" s="4" t="s">
        <v>16</v>
      </c>
      <c r="D151" s="34" t="s">
        <v>155</v>
      </c>
      <c r="E151" s="9" t="s">
        <v>156</v>
      </c>
      <c r="F151" s="10" t="s">
        <v>157</v>
      </c>
    </row>
    <row r="152" spans="1:8" hidden="1">
      <c r="A152" s="132" t="s">
        <v>63</v>
      </c>
      <c r="B152" s="99" t="s">
        <v>68</v>
      </c>
      <c r="C152" s="99">
        <v>8</v>
      </c>
      <c r="D152" s="99">
        <f>C152</f>
        <v>8</v>
      </c>
      <c r="E152" s="133">
        <f>D152+D154+D156</f>
        <v>8.6666666666666661</v>
      </c>
      <c r="F152" s="134">
        <f>E152/12</f>
        <v>0.72222222222222221</v>
      </c>
    </row>
    <row r="153" spans="1:8" hidden="1">
      <c r="A153" s="122"/>
      <c r="B153" s="125" t="s">
        <v>65</v>
      </c>
      <c r="C153" s="125">
        <v>2</v>
      </c>
      <c r="D153" s="35" t="s">
        <v>158</v>
      </c>
      <c r="E153" s="123"/>
      <c r="F153" s="124"/>
    </row>
    <row r="154" spans="1:8" hidden="1">
      <c r="A154" s="122"/>
      <c r="B154" s="125"/>
      <c r="C154" s="125"/>
      <c r="D154" s="16">
        <f>C153/3</f>
        <v>0.66666666666666663</v>
      </c>
      <c r="E154" s="123"/>
      <c r="F154" s="124"/>
    </row>
    <row r="155" spans="1:8" hidden="1">
      <c r="A155" s="122"/>
      <c r="B155" s="125" t="s">
        <v>69</v>
      </c>
      <c r="C155" s="125">
        <v>20</v>
      </c>
      <c r="D155" s="35" t="s">
        <v>159</v>
      </c>
      <c r="E155" s="123"/>
      <c r="F155" s="124"/>
    </row>
    <row r="156" spans="1:8" hidden="1">
      <c r="A156" s="122"/>
      <c r="B156" s="125"/>
      <c r="C156" s="125"/>
      <c r="D156" s="16">
        <v>0</v>
      </c>
      <c r="E156" s="123"/>
      <c r="F156" s="124"/>
    </row>
    <row r="157" spans="1:8" hidden="1">
      <c r="A157" s="36" t="s">
        <v>70</v>
      </c>
      <c r="B157" s="37" t="s">
        <v>72</v>
      </c>
      <c r="C157" s="37" t="s">
        <v>16</v>
      </c>
      <c r="D157" s="126" t="s">
        <v>160</v>
      </c>
      <c r="E157" s="126"/>
      <c r="F157" s="127"/>
    </row>
    <row r="158" spans="1:8" hidden="1">
      <c r="A158" s="122" t="s">
        <v>62</v>
      </c>
      <c r="B158" s="16" t="s">
        <v>68</v>
      </c>
      <c r="C158" s="16">
        <v>5</v>
      </c>
      <c r="D158" s="129">
        <f>C158/9</f>
        <v>0.55555555555555558</v>
      </c>
      <c r="E158" s="129"/>
      <c r="F158" s="124"/>
    </row>
    <row r="159" spans="1:8" ht="16.5" hidden="1" thickBot="1">
      <c r="A159" s="128"/>
      <c r="B159" s="20" t="s">
        <v>69</v>
      </c>
      <c r="C159" s="20">
        <v>0</v>
      </c>
      <c r="D159" s="130"/>
      <c r="E159" s="130"/>
      <c r="F159" s="131"/>
    </row>
    <row r="160" spans="1:8" hidden="1"/>
    <row r="161" spans="1:8" hidden="1">
      <c r="A161" s="14" t="s">
        <v>24</v>
      </c>
      <c r="B161" s="14"/>
      <c r="C161" s="14"/>
      <c r="D161" s="14"/>
      <c r="E161" s="14"/>
      <c r="F161" s="14"/>
      <c r="G161" s="14"/>
      <c r="H161" s="14"/>
    </row>
    <row r="162" spans="1:8" hidden="1">
      <c r="A162" s="3" t="s">
        <v>58</v>
      </c>
      <c r="B162" s="4" t="s">
        <v>67</v>
      </c>
      <c r="C162" s="4" t="s">
        <v>3</v>
      </c>
      <c r="D162" s="4" t="s">
        <v>57</v>
      </c>
      <c r="E162" s="4" t="s">
        <v>59</v>
      </c>
      <c r="F162" s="4" t="s">
        <v>61</v>
      </c>
      <c r="G162" s="4" t="s">
        <v>60</v>
      </c>
      <c r="H162" s="5" t="s">
        <v>66</v>
      </c>
    </row>
    <row r="163" spans="1:8" hidden="1">
      <c r="A163" s="28">
        <v>45902</v>
      </c>
      <c r="B163" s="16" t="s">
        <v>75</v>
      </c>
      <c r="C163" s="16" t="s">
        <v>1419</v>
      </c>
      <c r="D163" s="16" t="s">
        <v>1420</v>
      </c>
      <c r="E163" s="16" t="s">
        <v>41</v>
      </c>
      <c r="F163" s="16" t="s">
        <v>64</v>
      </c>
      <c r="G163" s="17" t="s">
        <v>1428</v>
      </c>
      <c r="H163" s="29"/>
    </row>
    <row r="164" spans="1:8" hidden="1">
      <c r="A164" s="28">
        <v>45902</v>
      </c>
      <c r="B164" s="16" t="s">
        <v>75</v>
      </c>
      <c r="C164" s="16" t="s">
        <v>1425</v>
      </c>
      <c r="D164" s="16" t="s">
        <v>1310</v>
      </c>
      <c r="E164" s="16" t="s">
        <v>41</v>
      </c>
      <c r="F164" s="16" t="s">
        <v>64</v>
      </c>
      <c r="G164" s="17" t="s">
        <v>1429</v>
      </c>
      <c r="H164" s="29"/>
    </row>
    <row r="165" spans="1:8" hidden="1">
      <c r="A165" s="28">
        <v>45902</v>
      </c>
      <c r="B165" s="16" t="s">
        <v>75</v>
      </c>
      <c r="C165" s="16" t="s">
        <v>1303</v>
      </c>
      <c r="D165" s="16" t="s">
        <v>1310</v>
      </c>
      <c r="E165" s="16" t="s">
        <v>41</v>
      </c>
      <c r="F165" s="16" t="s">
        <v>64</v>
      </c>
      <c r="G165" s="17" t="s">
        <v>1428</v>
      </c>
      <c r="H165" s="29"/>
    </row>
    <row r="166" spans="1:8" ht="31.5" hidden="1">
      <c r="A166" s="28">
        <v>45902</v>
      </c>
      <c r="B166" s="16" t="s">
        <v>75</v>
      </c>
      <c r="C166" s="16" t="s">
        <v>1430</v>
      </c>
      <c r="D166" s="16" t="s">
        <v>1431</v>
      </c>
      <c r="E166" s="16" t="s">
        <v>41</v>
      </c>
      <c r="F166" s="16" t="s">
        <v>77</v>
      </c>
      <c r="G166" s="17" t="s">
        <v>1432</v>
      </c>
      <c r="H166" s="29"/>
    </row>
    <row r="167" spans="1:8" hidden="1">
      <c r="A167" s="28">
        <v>45902</v>
      </c>
      <c r="B167" s="16" t="s">
        <v>75</v>
      </c>
      <c r="C167" s="16" t="s">
        <v>92</v>
      </c>
      <c r="D167" s="16" t="s">
        <v>1417</v>
      </c>
      <c r="E167" s="16" t="s">
        <v>41</v>
      </c>
      <c r="F167" s="16" t="s">
        <v>77</v>
      </c>
      <c r="G167" s="17" t="s">
        <v>1385</v>
      </c>
      <c r="H167" s="29"/>
    </row>
    <row r="168" spans="1:8" hidden="1">
      <c r="A168" s="28">
        <v>45902</v>
      </c>
      <c r="B168" s="16" t="s">
        <v>76</v>
      </c>
      <c r="C168" s="16" t="s">
        <v>1323</v>
      </c>
      <c r="D168" s="16" t="s">
        <v>1433</v>
      </c>
      <c r="E168" s="16" t="s">
        <v>41</v>
      </c>
      <c r="F168" s="16" t="s">
        <v>64</v>
      </c>
      <c r="G168" s="17" t="s">
        <v>1434</v>
      </c>
      <c r="H168" s="29"/>
    </row>
    <row r="169" spans="1:8" hidden="1">
      <c r="A169" s="28">
        <v>45902</v>
      </c>
      <c r="B169" s="16" t="s">
        <v>76</v>
      </c>
      <c r="C169" s="16" t="s">
        <v>362</v>
      </c>
      <c r="D169" s="16" t="s">
        <v>421</v>
      </c>
      <c r="E169" s="16" t="s">
        <v>41</v>
      </c>
      <c r="F169" s="16" t="s">
        <v>77</v>
      </c>
      <c r="G169" s="17" t="s">
        <v>1385</v>
      </c>
      <c r="H169" s="29"/>
    </row>
    <row r="170" spans="1:8" ht="31.5" hidden="1">
      <c r="A170" s="28">
        <v>45902</v>
      </c>
      <c r="B170" s="16" t="s">
        <v>75</v>
      </c>
      <c r="C170" s="16" t="s">
        <v>405</v>
      </c>
      <c r="D170" s="16" t="s">
        <v>1240</v>
      </c>
      <c r="E170" s="16" t="s">
        <v>41</v>
      </c>
      <c r="F170" s="16" t="s">
        <v>71</v>
      </c>
      <c r="G170" s="17" t="s">
        <v>1435</v>
      </c>
      <c r="H170" s="29"/>
    </row>
    <row r="171" spans="1:8" ht="47.25" hidden="1">
      <c r="A171" s="28">
        <v>45902</v>
      </c>
      <c r="B171" s="16" t="s">
        <v>91</v>
      </c>
      <c r="C171" s="16" t="s">
        <v>406</v>
      </c>
      <c r="D171" s="16" t="s">
        <v>1369</v>
      </c>
      <c r="E171" s="16" t="s">
        <v>41</v>
      </c>
      <c r="F171" s="16" t="s">
        <v>71</v>
      </c>
      <c r="G171" s="17" t="s">
        <v>1436</v>
      </c>
      <c r="H171" s="29"/>
    </row>
    <row r="172" spans="1:8" ht="78.75" hidden="1">
      <c r="A172" s="28">
        <v>45902</v>
      </c>
      <c r="B172" s="16" t="s">
        <v>75</v>
      </c>
      <c r="C172" s="16" t="s">
        <v>1326</v>
      </c>
      <c r="D172" s="16" t="s">
        <v>1437</v>
      </c>
      <c r="E172" s="16" t="s">
        <v>40</v>
      </c>
      <c r="F172" s="16" t="s">
        <v>71</v>
      </c>
      <c r="G172" s="17" t="s">
        <v>1438</v>
      </c>
      <c r="H172" s="29"/>
    </row>
    <row r="173" spans="1:8" ht="78.75" hidden="1">
      <c r="A173" s="28">
        <v>45903</v>
      </c>
      <c r="B173" s="16" t="s">
        <v>75</v>
      </c>
      <c r="C173" s="16" t="s">
        <v>1419</v>
      </c>
      <c r="D173" s="16" t="s">
        <v>1439</v>
      </c>
      <c r="E173" s="16" t="s">
        <v>40</v>
      </c>
      <c r="F173" s="16" t="s">
        <v>77</v>
      </c>
      <c r="G173" s="17" t="s">
        <v>1440</v>
      </c>
      <c r="H173" s="29"/>
    </row>
    <row r="174" spans="1:8" ht="63" hidden="1">
      <c r="A174" s="28">
        <v>45903</v>
      </c>
      <c r="B174" s="16" t="s">
        <v>75</v>
      </c>
      <c r="C174" s="16" t="s">
        <v>1202</v>
      </c>
      <c r="D174" s="16" t="s">
        <v>1411</v>
      </c>
      <c r="E174" s="16" t="s">
        <v>40</v>
      </c>
      <c r="F174" s="16" t="s">
        <v>71</v>
      </c>
      <c r="G174" s="17" t="s">
        <v>1441</v>
      </c>
      <c r="H174" s="29"/>
    </row>
    <row r="175" spans="1:8" ht="31.5" hidden="1">
      <c r="A175" s="28">
        <v>45903</v>
      </c>
      <c r="B175" s="16" t="s">
        <v>75</v>
      </c>
      <c r="C175" s="16" t="s">
        <v>1442</v>
      </c>
      <c r="D175" s="16" t="s">
        <v>1443</v>
      </c>
      <c r="E175" s="16" t="s">
        <v>41</v>
      </c>
      <c r="F175" s="16" t="s">
        <v>71</v>
      </c>
      <c r="G175" s="17" t="s">
        <v>1444</v>
      </c>
      <c r="H175" s="29"/>
    </row>
    <row r="176" spans="1:8" hidden="1">
      <c r="A176" s="28">
        <v>45903</v>
      </c>
      <c r="B176" s="16" t="s">
        <v>197</v>
      </c>
      <c r="C176" s="16" t="s">
        <v>362</v>
      </c>
      <c r="D176" s="16" t="s">
        <v>421</v>
      </c>
      <c r="E176" s="16" t="s">
        <v>41</v>
      </c>
      <c r="F176" s="16" t="s">
        <v>77</v>
      </c>
      <c r="G176" s="17" t="s">
        <v>1445</v>
      </c>
      <c r="H176" s="29"/>
    </row>
    <row r="177" spans="1:8" hidden="1">
      <c r="A177" s="28">
        <v>45903</v>
      </c>
      <c r="B177" s="16" t="s">
        <v>197</v>
      </c>
      <c r="C177" s="16" t="s">
        <v>1446</v>
      </c>
      <c r="D177" s="16" t="s">
        <v>1447</v>
      </c>
      <c r="E177" s="16" t="s">
        <v>41</v>
      </c>
      <c r="F177" s="16" t="s">
        <v>77</v>
      </c>
      <c r="G177" s="17" t="s">
        <v>1385</v>
      </c>
      <c r="H177" s="29"/>
    </row>
    <row r="178" spans="1:8" ht="31.5" hidden="1">
      <c r="A178" s="28">
        <v>45903</v>
      </c>
      <c r="B178" s="16" t="s">
        <v>76</v>
      </c>
      <c r="C178" s="16" t="s">
        <v>1233</v>
      </c>
      <c r="D178" s="16" t="s">
        <v>1448</v>
      </c>
      <c r="E178" s="16" t="s">
        <v>41</v>
      </c>
      <c r="F178" s="16" t="s">
        <v>64</v>
      </c>
      <c r="G178" s="17" t="s">
        <v>1449</v>
      </c>
      <c r="H178" s="29"/>
    </row>
    <row r="179" spans="1:8" ht="31.5" hidden="1">
      <c r="A179" s="28">
        <v>45903</v>
      </c>
      <c r="B179" s="16" t="s">
        <v>197</v>
      </c>
      <c r="C179" s="16" t="s">
        <v>533</v>
      </c>
      <c r="D179" s="16" t="s">
        <v>541</v>
      </c>
      <c r="E179" s="16" t="s">
        <v>41</v>
      </c>
      <c r="F179" s="16" t="s">
        <v>64</v>
      </c>
      <c r="G179" s="17" t="s">
        <v>1450</v>
      </c>
      <c r="H179" s="29"/>
    </row>
    <row r="180" spans="1:8" hidden="1">
      <c r="A180" s="28">
        <v>45903</v>
      </c>
      <c r="B180" s="16" t="s">
        <v>91</v>
      </c>
      <c r="C180" s="16" t="s">
        <v>1451</v>
      </c>
      <c r="D180" s="16" t="s">
        <v>206</v>
      </c>
      <c r="E180" s="16" t="s">
        <v>41</v>
      </c>
      <c r="F180" s="16" t="s">
        <v>77</v>
      </c>
      <c r="G180" s="17" t="s">
        <v>1395</v>
      </c>
      <c r="H180" s="29"/>
    </row>
    <row r="181" spans="1:8" ht="94.5" hidden="1">
      <c r="A181" s="28">
        <v>45903</v>
      </c>
      <c r="B181" s="16" t="s">
        <v>91</v>
      </c>
      <c r="C181" s="16" t="s">
        <v>1452</v>
      </c>
      <c r="D181" s="16" t="s">
        <v>1453</v>
      </c>
      <c r="E181" s="16" t="s">
        <v>41</v>
      </c>
      <c r="F181" s="16" t="s">
        <v>71</v>
      </c>
      <c r="G181" s="17" t="s">
        <v>1454</v>
      </c>
      <c r="H181" s="29"/>
    </row>
    <row r="182" spans="1:8" ht="47.25" hidden="1">
      <c r="A182" s="28">
        <v>45904</v>
      </c>
      <c r="B182" s="16" t="s">
        <v>75</v>
      </c>
      <c r="C182" s="16" t="s">
        <v>1303</v>
      </c>
      <c r="D182" s="16" t="s">
        <v>1455</v>
      </c>
      <c r="E182" s="16" t="s">
        <v>40</v>
      </c>
      <c r="F182" s="16" t="s">
        <v>77</v>
      </c>
      <c r="G182" s="17" t="s">
        <v>1456</v>
      </c>
      <c r="H182" s="29"/>
    </row>
    <row r="183" spans="1:8" ht="47.25" hidden="1">
      <c r="A183" s="28">
        <v>45904</v>
      </c>
      <c r="B183" s="16" t="s">
        <v>75</v>
      </c>
      <c r="C183" s="16" t="s">
        <v>1247</v>
      </c>
      <c r="D183" s="16" t="s">
        <v>1457</v>
      </c>
      <c r="E183" s="16" t="s">
        <v>40</v>
      </c>
      <c r="F183" s="16" t="s">
        <v>71</v>
      </c>
      <c r="G183" s="17" t="s">
        <v>1458</v>
      </c>
      <c r="H183" s="29"/>
    </row>
    <row r="184" spans="1:8" ht="31.5" hidden="1">
      <c r="A184" s="28">
        <v>45904</v>
      </c>
      <c r="B184" s="16" t="s">
        <v>197</v>
      </c>
      <c r="C184" s="16" t="s">
        <v>532</v>
      </c>
      <c r="D184" s="16" t="s">
        <v>539</v>
      </c>
      <c r="E184" s="16" t="s">
        <v>41</v>
      </c>
      <c r="F184" s="16" t="s">
        <v>77</v>
      </c>
      <c r="G184" s="17" t="s">
        <v>1459</v>
      </c>
      <c r="H184" s="29"/>
    </row>
    <row r="185" spans="1:8" hidden="1">
      <c r="A185" s="28">
        <v>45904</v>
      </c>
      <c r="B185" s="16" t="s">
        <v>75</v>
      </c>
      <c r="C185" s="16" t="s">
        <v>405</v>
      </c>
      <c r="D185" s="16" t="s">
        <v>1240</v>
      </c>
      <c r="E185" s="16" t="s">
        <v>41</v>
      </c>
      <c r="F185" s="16" t="s">
        <v>64</v>
      </c>
      <c r="G185" s="17" t="s">
        <v>1460</v>
      </c>
      <c r="H185" s="29"/>
    </row>
    <row r="186" spans="1:8" hidden="1">
      <c r="A186" s="28">
        <v>45904</v>
      </c>
      <c r="B186" s="16" t="s">
        <v>91</v>
      </c>
      <c r="C186" s="16" t="s">
        <v>406</v>
      </c>
      <c r="D186" s="16" t="s">
        <v>1369</v>
      </c>
      <c r="E186" s="16" t="s">
        <v>41</v>
      </c>
      <c r="F186" s="16" t="s">
        <v>64</v>
      </c>
      <c r="G186" s="17" t="s">
        <v>1461</v>
      </c>
      <c r="H186" s="29"/>
    </row>
    <row r="187" spans="1:8" ht="31.5" hidden="1">
      <c r="A187" s="28">
        <v>45904</v>
      </c>
      <c r="B187" s="16" t="s">
        <v>197</v>
      </c>
      <c r="C187" s="16" t="s">
        <v>1314</v>
      </c>
      <c r="D187" s="16" t="s">
        <v>1315</v>
      </c>
      <c r="E187" s="16" t="s">
        <v>41</v>
      </c>
      <c r="F187" s="16" t="s">
        <v>64</v>
      </c>
      <c r="G187" s="17" t="s">
        <v>1462</v>
      </c>
      <c r="H187" s="29"/>
    </row>
    <row r="188" spans="1:8" hidden="1">
      <c r="A188" s="28">
        <v>45904</v>
      </c>
      <c r="B188" s="16" t="s">
        <v>197</v>
      </c>
      <c r="C188" s="16" t="s">
        <v>1376</v>
      </c>
      <c r="D188" s="16" t="s">
        <v>1463</v>
      </c>
      <c r="E188" s="16" t="s">
        <v>41</v>
      </c>
      <c r="F188" s="16" t="s">
        <v>64</v>
      </c>
      <c r="G188" s="17" t="s">
        <v>1464</v>
      </c>
      <c r="H188" s="29"/>
    </row>
    <row r="189" spans="1:8" hidden="1">
      <c r="A189" s="28">
        <v>45904</v>
      </c>
      <c r="B189" s="16" t="s">
        <v>197</v>
      </c>
      <c r="C189" s="16" t="s">
        <v>407</v>
      </c>
      <c r="D189" s="16" t="s">
        <v>283</v>
      </c>
      <c r="E189" s="16" t="s">
        <v>41</v>
      </c>
      <c r="F189" s="16" t="s">
        <v>64</v>
      </c>
      <c r="G189" s="93" t="s">
        <v>1465</v>
      </c>
      <c r="H189" s="29"/>
    </row>
    <row r="190" spans="1:8" hidden="1">
      <c r="A190" s="28">
        <v>45904</v>
      </c>
      <c r="B190" s="16" t="s">
        <v>75</v>
      </c>
      <c r="C190" s="16" t="s">
        <v>408</v>
      </c>
      <c r="D190" s="16" t="s">
        <v>1466</v>
      </c>
      <c r="E190" s="16" t="s">
        <v>41</v>
      </c>
      <c r="F190" s="16" t="s">
        <v>64</v>
      </c>
      <c r="G190" s="93" t="s">
        <v>1467</v>
      </c>
      <c r="H190" s="29"/>
    </row>
    <row r="191" spans="1:8" hidden="1">
      <c r="A191" s="28">
        <v>45904</v>
      </c>
      <c r="B191" s="16" t="s">
        <v>197</v>
      </c>
      <c r="C191" s="16" t="s">
        <v>533</v>
      </c>
      <c r="D191" s="16" t="s">
        <v>1468</v>
      </c>
      <c r="E191" s="16" t="s">
        <v>41</v>
      </c>
      <c r="F191" s="16" t="s">
        <v>64</v>
      </c>
      <c r="G191" s="93" t="s">
        <v>1469</v>
      </c>
      <c r="H191" s="29"/>
    </row>
    <row r="192" spans="1:8" ht="47.25" hidden="1">
      <c r="A192" s="28">
        <v>45905</v>
      </c>
      <c r="B192" s="16" t="s">
        <v>76</v>
      </c>
      <c r="C192" s="16" t="s">
        <v>1233</v>
      </c>
      <c r="D192" s="16" t="s">
        <v>1470</v>
      </c>
      <c r="E192" s="16" t="s">
        <v>40</v>
      </c>
      <c r="F192" s="16" t="s">
        <v>71</v>
      </c>
      <c r="G192" s="93" t="s">
        <v>1471</v>
      </c>
      <c r="H192" s="29"/>
    </row>
    <row r="193" spans="1:8" ht="111" hidden="1" thickBot="1">
      <c r="A193" s="31">
        <v>45905</v>
      </c>
      <c r="B193" s="20" t="s">
        <v>91</v>
      </c>
      <c r="C193" s="20" t="s">
        <v>1452</v>
      </c>
      <c r="D193" s="20" t="s">
        <v>1472</v>
      </c>
      <c r="E193" s="20" t="s">
        <v>40</v>
      </c>
      <c r="F193" s="20" t="s">
        <v>71</v>
      </c>
      <c r="G193" s="100" t="s">
        <v>1473</v>
      </c>
      <c r="H193" s="30"/>
    </row>
    <row r="194" spans="1:8" hidden="1"/>
    <row r="195" spans="1:8" hidden="1">
      <c r="A195" s="3" t="s">
        <v>70</v>
      </c>
      <c r="B195" s="4" t="s">
        <v>72</v>
      </c>
      <c r="C195" s="4" t="s">
        <v>16</v>
      </c>
      <c r="D195" s="34" t="s">
        <v>155</v>
      </c>
      <c r="E195" s="9" t="s">
        <v>156</v>
      </c>
      <c r="F195" s="10" t="s">
        <v>157</v>
      </c>
    </row>
    <row r="196" spans="1:8" hidden="1">
      <c r="A196" s="132" t="s">
        <v>63</v>
      </c>
      <c r="B196" s="99" t="s">
        <v>68</v>
      </c>
      <c r="C196" s="99">
        <v>4</v>
      </c>
      <c r="D196" s="99">
        <f>C196</f>
        <v>4</v>
      </c>
      <c r="E196" s="133">
        <f>D196+D198+D200</f>
        <v>8.3333333333333321</v>
      </c>
      <c r="F196" s="134">
        <f>E196/12</f>
        <v>0.69444444444444431</v>
      </c>
    </row>
    <row r="197" spans="1:8" hidden="1">
      <c r="A197" s="122"/>
      <c r="B197" s="125" t="s">
        <v>65</v>
      </c>
      <c r="C197" s="125">
        <v>13</v>
      </c>
      <c r="D197" s="35" t="s">
        <v>158</v>
      </c>
      <c r="E197" s="123"/>
      <c r="F197" s="124"/>
    </row>
    <row r="198" spans="1:8" hidden="1">
      <c r="A198" s="122"/>
      <c r="B198" s="125"/>
      <c r="C198" s="125"/>
      <c r="D198" s="16">
        <f>C197/3</f>
        <v>4.333333333333333</v>
      </c>
      <c r="E198" s="123"/>
      <c r="F198" s="124"/>
    </row>
    <row r="199" spans="1:8" hidden="1">
      <c r="A199" s="122"/>
      <c r="B199" s="125" t="s">
        <v>69</v>
      </c>
      <c r="C199" s="125">
        <v>7</v>
      </c>
      <c r="D199" s="35" t="s">
        <v>159</v>
      </c>
      <c r="E199" s="123"/>
      <c r="F199" s="124"/>
    </row>
    <row r="200" spans="1:8" hidden="1">
      <c r="A200" s="122"/>
      <c r="B200" s="125"/>
      <c r="C200" s="125"/>
      <c r="D200" s="16">
        <v>0</v>
      </c>
      <c r="E200" s="123"/>
      <c r="F200" s="124"/>
    </row>
    <row r="201" spans="1:8" hidden="1">
      <c r="A201" s="36" t="s">
        <v>70</v>
      </c>
      <c r="B201" s="37" t="s">
        <v>72</v>
      </c>
      <c r="C201" s="37" t="s">
        <v>16</v>
      </c>
      <c r="D201" s="126" t="s">
        <v>160</v>
      </c>
      <c r="E201" s="126"/>
      <c r="F201" s="127"/>
    </row>
    <row r="202" spans="1:8" hidden="1">
      <c r="A202" s="122" t="s">
        <v>62</v>
      </c>
      <c r="B202" s="16" t="s">
        <v>68</v>
      </c>
      <c r="C202" s="16">
        <v>5</v>
      </c>
      <c r="D202" s="129">
        <f>C202/9</f>
        <v>0.55555555555555558</v>
      </c>
      <c r="E202" s="129"/>
      <c r="F202" s="124"/>
    </row>
    <row r="203" spans="1:8" ht="16.5" hidden="1" thickBot="1">
      <c r="A203" s="128"/>
      <c r="B203" s="20" t="s">
        <v>69</v>
      </c>
      <c r="C203" s="20">
        <v>2</v>
      </c>
      <c r="D203" s="130"/>
      <c r="E203" s="130"/>
      <c r="F203" s="131"/>
    </row>
    <row r="204" spans="1:8" hidden="1"/>
    <row r="205" spans="1:8" hidden="1">
      <c r="A205" s="14" t="s">
        <v>400</v>
      </c>
      <c r="B205" s="14"/>
      <c r="C205" s="14" t="s">
        <v>1474</v>
      </c>
      <c r="D205" s="14"/>
      <c r="E205" s="14"/>
      <c r="F205" s="14"/>
      <c r="G205" s="14"/>
      <c r="H205" s="14"/>
    </row>
    <row r="206" spans="1:8" hidden="1">
      <c r="A206" s="3" t="s">
        <v>58</v>
      </c>
      <c r="B206" s="4" t="s">
        <v>67</v>
      </c>
      <c r="C206" s="4" t="s">
        <v>3</v>
      </c>
      <c r="D206" s="4" t="s">
        <v>57</v>
      </c>
      <c r="E206" s="4" t="s">
        <v>59</v>
      </c>
      <c r="F206" s="4" t="s">
        <v>61</v>
      </c>
      <c r="G206" s="4" t="s">
        <v>60</v>
      </c>
      <c r="H206" s="5" t="s">
        <v>66</v>
      </c>
    </row>
    <row r="207" spans="1:8" hidden="1">
      <c r="A207" s="28">
        <v>45908</v>
      </c>
      <c r="B207" s="16" t="s">
        <v>75</v>
      </c>
      <c r="C207" s="16" t="s">
        <v>1475</v>
      </c>
      <c r="D207" s="16" t="s">
        <v>1476</v>
      </c>
      <c r="E207" s="16" t="s">
        <v>41</v>
      </c>
      <c r="F207" s="16" t="s">
        <v>77</v>
      </c>
      <c r="G207" s="17" t="s">
        <v>1385</v>
      </c>
      <c r="H207" s="29"/>
    </row>
    <row r="208" spans="1:8" hidden="1">
      <c r="A208" s="28">
        <v>45908</v>
      </c>
      <c r="B208" s="16" t="s">
        <v>75</v>
      </c>
      <c r="C208" s="16" t="s">
        <v>1477</v>
      </c>
      <c r="D208" s="16" t="s">
        <v>1478</v>
      </c>
      <c r="E208" s="16" t="s">
        <v>41</v>
      </c>
      <c r="F208" s="16" t="s">
        <v>77</v>
      </c>
      <c r="G208" s="17" t="s">
        <v>1385</v>
      </c>
      <c r="H208" s="29"/>
    </row>
    <row r="209" spans="1:8" hidden="1">
      <c r="A209" s="28">
        <v>45908</v>
      </c>
      <c r="B209" s="16" t="s">
        <v>75</v>
      </c>
      <c r="C209" s="16" t="s">
        <v>1479</v>
      </c>
      <c r="D209" s="16" t="s">
        <v>1480</v>
      </c>
      <c r="E209" s="16" t="s">
        <v>41</v>
      </c>
      <c r="F209" s="16" t="s">
        <v>77</v>
      </c>
      <c r="G209" s="17" t="s">
        <v>1385</v>
      </c>
      <c r="H209" s="29"/>
    </row>
    <row r="210" spans="1:8" ht="78.75" hidden="1">
      <c r="A210" s="28">
        <v>45908</v>
      </c>
      <c r="B210" s="16" t="s">
        <v>197</v>
      </c>
      <c r="C210" s="16" t="s">
        <v>1213</v>
      </c>
      <c r="D210" s="16" t="s">
        <v>1481</v>
      </c>
      <c r="E210" s="16" t="s">
        <v>41</v>
      </c>
      <c r="F210" s="16" t="s">
        <v>71</v>
      </c>
      <c r="G210" s="17" t="s">
        <v>1482</v>
      </c>
      <c r="H210" s="29"/>
    </row>
    <row r="211" spans="1:8" ht="47.25" hidden="1">
      <c r="A211" s="28">
        <v>45908</v>
      </c>
      <c r="B211" s="16" t="s">
        <v>75</v>
      </c>
      <c r="C211" s="16" t="s">
        <v>1452</v>
      </c>
      <c r="D211" s="16" t="s">
        <v>1483</v>
      </c>
      <c r="E211" s="16" t="s">
        <v>41</v>
      </c>
      <c r="F211" s="16" t="s">
        <v>71</v>
      </c>
      <c r="G211" s="17" t="s">
        <v>1484</v>
      </c>
      <c r="H211" s="29"/>
    </row>
    <row r="212" spans="1:8" hidden="1">
      <c r="A212" s="28">
        <v>45908</v>
      </c>
      <c r="B212" s="16" t="s">
        <v>75</v>
      </c>
      <c r="C212" s="16" t="s">
        <v>1485</v>
      </c>
      <c r="D212" s="16" t="s">
        <v>1486</v>
      </c>
      <c r="E212" s="16" t="s">
        <v>41</v>
      </c>
      <c r="F212" s="16" t="s">
        <v>77</v>
      </c>
      <c r="G212" s="17" t="s">
        <v>1385</v>
      </c>
      <c r="H212" s="29"/>
    </row>
    <row r="213" spans="1:8" ht="47.25" hidden="1">
      <c r="A213" s="28">
        <v>45908</v>
      </c>
      <c r="B213" s="16" t="s">
        <v>75</v>
      </c>
      <c r="C213" s="16" t="s">
        <v>1487</v>
      </c>
      <c r="D213" s="16" t="s">
        <v>1488</v>
      </c>
      <c r="E213" s="16" t="s">
        <v>41</v>
      </c>
      <c r="F213" s="16" t="s">
        <v>77</v>
      </c>
      <c r="G213" s="17" t="s">
        <v>1489</v>
      </c>
      <c r="H213" s="29"/>
    </row>
    <row r="214" spans="1:8" hidden="1">
      <c r="A214" s="28">
        <v>45908</v>
      </c>
      <c r="B214" s="16" t="s">
        <v>75</v>
      </c>
      <c r="C214" s="16" t="s">
        <v>1490</v>
      </c>
      <c r="D214" s="16" t="s">
        <v>1491</v>
      </c>
      <c r="E214" s="16" t="s">
        <v>41</v>
      </c>
      <c r="F214" s="16" t="s">
        <v>77</v>
      </c>
      <c r="G214" s="17" t="s">
        <v>1385</v>
      </c>
      <c r="H214" s="29"/>
    </row>
    <row r="215" spans="1:8" hidden="1">
      <c r="A215" s="28">
        <v>45908</v>
      </c>
      <c r="B215" s="16" t="s">
        <v>75</v>
      </c>
      <c r="C215" s="16" t="s">
        <v>886</v>
      </c>
      <c r="D215" s="16" t="s">
        <v>1492</v>
      </c>
      <c r="E215" s="16" t="s">
        <v>41</v>
      </c>
      <c r="F215" s="16" t="s">
        <v>77</v>
      </c>
      <c r="G215" s="17" t="s">
        <v>1385</v>
      </c>
      <c r="H215" s="29"/>
    </row>
    <row r="216" spans="1:8" ht="47.25" hidden="1">
      <c r="A216" s="28">
        <v>45908</v>
      </c>
      <c r="B216" s="16" t="s">
        <v>75</v>
      </c>
      <c r="C216" s="16" t="s">
        <v>1261</v>
      </c>
      <c r="D216" s="16" t="s">
        <v>1493</v>
      </c>
      <c r="E216" s="16" t="s">
        <v>41</v>
      </c>
      <c r="F216" s="16" t="s">
        <v>77</v>
      </c>
      <c r="G216" s="17" t="s">
        <v>1494</v>
      </c>
      <c r="H216" s="29"/>
    </row>
    <row r="217" spans="1:8" ht="31.5" hidden="1">
      <c r="A217" s="28">
        <v>45908</v>
      </c>
      <c r="B217" s="16" t="s">
        <v>76</v>
      </c>
      <c r="C217" s="16" t="s">
        <v>1236</v>
      </c>
      <c r="D217" s="16" t="s">
        <v>1495</v>
      </c>
      <c r="E217" s="16" t="s">
        <v>41</v>
      </c>
      <c r="F217" s="16" t="s">
        <v>71</v>
      </c>
      <c r="G217" s="17" t="s">
        <v>1496</v>
      </c>
      <c r="H217" s="29"/>
    </row>
    <row r="218" spans="1:8" ht="141.75" hidden="1">
      <c r="A218" s="28">
        <v>45910</v>
      </c>
      <c r="B218" s="16" t="s">
        <v>76</v>
      </c>
      <c r="C218" s="16" t="s">
        <v>362</v>
      </c>
      <c r="D218" s="16" t="s">
        <v>1497</v>
      </c>
      <c r="E218" s="16" t="s">
        <v>40</v>
      </c>
      <c r="F218" s="16" t="s">
        <v>71</v>
      </c>
      <c r="G218" s="17" t="s">
        <v>1498</v>
      </c>
      <c r="H218" s="29"/>
    </row>
    <row r="219" spans="1:8" ht="157.5" hidden="1">
      <c r="A219" s="28">
        <v>45910</v>
      </c>
      <c r="B219" s="16" t="s">
        <v>76</v>
      </c>
      <c r="C219" s="16" t="s">
        <v>533</v>
      </c>
      <c r="D219" s="16" t="s">
        <v>541</v>
      </c>
      <c r="E219" s="16" t="s">
        <v>40</v>
      </c>
      <c r="F219" s="16" t="s">
        <v>71</v>
      </c>
      <c r="G219" s="17" t="s">
        <v>1499</v>
      </c>
      <c r="H219" s="29"/>
    </row>
    <row r="220" spans="1:8" ht="31.5" hidden="1">
      <c r="A220" s="28">
        <v>45910</v>
      </c>
      <c r="B220" s="16" t="s">
        <v>75</v>
      </c>
      <c r="C220" s="16" t="s">
        <v>406</v>
      </c>
      <c r="D220" s="16" t="s">
        <v>1369</v>
      </c>
      <c r="E220" s="16" t="s">
        <v>40</v>
      </c>
      <c r="F220" s="16" t="s">
        <v>77</v>
      </c>
      <c r="G220" s="17" t="s">
        <v>1500</v>
      </c>
      <c r="H220" s="29"/>
    </row>
    <row r="221" spans="1:8" ht="173.25" hidden="1">
      <c r="A221" s="28">
        <v>45911</v>
      </c>
      <c r="B221" s="16" t="s">
        <v>197</v>
      </c>
      <c r="C221" s="16" t="s">
        <v>407</v>
      </c>
      <c r="D221" s="16" t="s">
        <v>423</v>
      </c>
      <c r="E221" s="16" t="s">
        <v>40</v>
      </c>
      <c r="F221" s="16" t="s">
        <v>71</v>
      </c>
      <c r="G221" s="17" t="s">
        <v>1501</v>
      </c>
      <c r="H221" s="29"/>
    </row>
    <row r="222" spans="1:8" ht="189" hidden="1">
      <c r="A222" s="28">
        <v>45911</v>
      </c>
      <c r="B222" s="16" t="s">
        <v>197</v>
      </c>
      <c r="C222" s="16" t="s">
        <v>1376</v>
      </c>
      <c r="D222" s="16" t="s">
        <v>1502</v>
      </c>
      <c r="E222" s="16" t="s">
        <v>40</v>
      </c>
      <c r="F222" s="16" t="s">
        <v>71</v>
      </c>
      <c r="G222" s="17" t="s">
        <v>1503</v>
      </c>
      <c r="H222" s="29"/>
    </row>
    <row r="223" spans="1:8" ht="157.5" hidden="1">
      <c r="A223" s="28">
        <v>45911</v>
      </c>
      <c r="B223" s="16" t="s">
        <v>197</v>
      </c>
      <c r="C223" s="16" t="s">
        <v>1314</v>
      </c>
      <c r="D223" s="16" t="s">
        <v>1315</v>
      </c>
      <c r="E223" s="16" t="s">
        <v>40</v>
      </c>
      <c r="F223" s="16" t="s">
        <v>71</v>
      </c>
      <c r="G223" s="17" t="s">
        <v>1504</v>
      </c>
      <c r="H223" s="29"/>
    </row>
    <row r="224" spans="1:8" hidden="1">
      <c r="A224" s="28">
        <v>45911</v>
      </c>
      <c r="B224" s="16" t="s">
        <v>75</v>
      </c>
      <c r="C224" s="16" t="s">
        <v>1505</v>
      </c>
      <c r="D224" s="16" t="s">
        <v>1506</v>
      </c>
      <c r="E224" s="16" t="s">
        <v>41</v>
      </c>
      <c r="F224" s="16" t="s">
        <v>77</v>
      </c>
      <c r="G224" s="17" t="s">
        <v>1385</v>
      </c>
      <c r="H224" s="29"/>
    </row>
    <row r="225" spans="1:8" hidden="1">
      <c r="A225" s="28">
        <v>45911</v>
      </c>
      <c r="B225" s="16" t="s">
        <v>75</v>
      </c>
      <c r="C225" s="16" t="s">
        <v>1507</v>
      </c>
      <c r="D225" s="16" t="s">
        <v>1508</v>
      </c>
      <c r="E225" s="16" t="s">
        <v>41</v>
      </c>
      <c r="F225" s="16" t="s">
        <v>77</v>
      </c>
      <c r="G225" s="17" t="s">
        <v>1385</v>
      </c>
      <c r="H225" s="29"/>
    </row>
    <row r="226" spans="1:8" hidden="1">
      <c r="A226" s="28">
        <v>45911</v>
      </c>
      <c r="B226" s="16" t="s">
        <v>197</v>
      </c>
      <c r="C226" s="16" t="s">
        <v>1213</v>
      </c>
      <c r="D226" s="16" t="s">
        <v>1509</v>
      </c>
      <c r="E226" s="16" t="s">
        <v>41</v>
      </c>
      <c r="F226" s="16" t="s">
        <v>64</v>
      </c>
      <c r="G226" s="17" t="s">
        <v>1510</v>
      </c>
      <c r="H226" s="29"/>
    </row>
    <row r="227" spans="1:8" hidden="1">
      <c r="A227" s="28">
        <v>45912</v>
      </c>
      <c r="B227" s="16" t="s">
        <v>75</v>
      </c>
      <c r="C227" s="16" t="s">
        <v>1233</v>
      </c>
      <c r="D227" s="16" t="s">
        <v>1511</v>
      </c>
      <c r="E227" s="16" t="s">
        <v>41</v>
      </c>
      <c r="F227" s="16" t="s">
        <v>77</v>
      </c>
      <c r="G227" s="17" t="s">
        <v>1385</v>
      </c>
      <c r="H227" s="29"/>
    </row>
    <row r="228" spans="1:8" ht="126" hidden="1">
      <c r="A228" s="28">
        <v>45912</v>
      </c>
      <c r="B228" s="16" t="s">
        <v>75</v>
      </c>
      <c r="C228" s="16" t="s">
        <v>414</v>
      </c>
      <c r="D228" s="16" t="s">
        <v>1512</v>
      </c>
      <c r="E228" s="16" t="s">
        <v>40</v>
      </c>
      <c r="F228" s="16" t="s">
        <v>71</v>
      </c>
      <c r="G228" s="17" t="s">
        <v>1513</v>
      </c>
      <c r="H228" s="29"/>
    </row>
    <row r="229" spans="1:8" ht="110.25" hidden="1">
      <c r="A229" s="28">
        <v>45912</v>
      </c>
      <c r="B229" s="16" t="s">
        <v>75</v>
      </c>
      <c r="C229" s="16" t="s">
        <v>408</v>
      </c>
      <c r="D229" s="16" t="s">
        <v>1514</v>
      </c>
      <c r="E229" s="16" t="s">
        <v>40</v>
      </c>
      <c r="F229" s="16" t="s">
        <v>71</v>
      </c>
      <c r="G229" s="17" t="s">
        <v>1515</v>
      </c>
      <c r="H229" s="29"/>
    </row>
    <row r="230" spans="1:8" ht="63.75" hidden="1" thickBot="1">
      <c r="A230" s="31">
        <v>45912</v>
      </c>
      <c r="B230" s="20" t="s">
        <v>75</v>
      </c>
      <c r="C230" s="20" t="s">
        <v>405</v>
      </c>
      <c r="D230" s="20" t="s">
        <v>1516</v>
      </c>
      <c r="E230" s="20" t="s">
        <v>40</v>
      </c>
      <c r="F230" s="20" t="s">
        <v>71</v>
      </c>
      <c r="G230" s="21" t="s">
        <v>1517</v>
      </c>
      <c r="H230" s="30"/>
    </row>
    <row r="231" spans="1:8" hidden="1"/>
    <row r="232" spans="1:8" hidden="1">
      <c r="A232" s="3" t="s">
        <v>70</v>
      </c>
      <c r="B232" s="4" t="s">
        <v>72</v>
      </c>
      <c r="C232" s="4" t="s">
        <v>16</v>
      </c>
      <c r="D232" s="34" t="s">
        <v>155</v>
      </c>
      <c r="E232" s="9" t="s">
        <v>156</v>
      </c>
      <c r="F232" s="10" t="s">
        <v>157</v>
      </c>
    </row>
    <row r="233" spans="1:8" hidden="1">
      <c r="A233" s="132" t="s">
        <v>63</v>
      </c>
      <c r="B233" s="99" t="s">
        <v>68</v>
      </c>
      <c r="C233" s="99">
        <v>3</v>
      </c>
      <c r="D233" s="99">
        <f>C233</f>
        <v>3</v>
      </c>
      <c r="E233" s="133">
        <f>D233+D235+D237</f>
        <v>3.3333333333333335</v>
      </c>
      <c r="F233" s="134">
        <f>E233/12</f>
        <v>0.27777777777777779</v>
      </c>
    </row>
    <row r="234" spans="1:8" hidden="1">
      <c r="A234" s="122"/>
      <c r="B234" s="125" t="s">
        <v>65</v>
      </c>
      <c r="C234" s="125">
        <v>1</v>
      </c>
      <c r="D234" s="35" t="s">
        <v>158</v>
      </c>
      <c r="E234" s="123"/>
      <c r="F234" s="124"/>
    </row>
    <row r="235" spans="1:8" hidden="1">
      <c r="A235" s="122"/>
      <c r="B235" s="125"/>
      <c r="C235" s="125"/>
      <c r="D235" s="16">
        <f>C234/3</f>
        <v>0.33333333333333331</v>
      </c>
      <c r="E235" s="123"/>
      <c r="F235" s="124"/>
    </row>
    <row r="236" spans="1:8" hidden="1">
      <c r="A236" s="122"/>
      <c r="B236" s="125" t="s">
        <v>69</v>
      </c>
      <c r="C236" s="125">
        <v>11</v>
      </c>
      <c r="D236" s="35" t="s">
        <v>159</v>
      </c>
      <c r="E236" s="123"/>
      <c r="F236" s="124"/>
    </row>
    <row r="237" spans="1:8" hidden="1">
      <c r="A237" s="122"/>
      <c r="B237" s="125"/>
      <c r="C237" s="125"/>
      <c r="D237" s="16">
        <v>0</v>
      </c>
      <c r="E237" s="123"/>
      <c r="F237" s="124"/>
    </row>
    <row r="238" spans="1:8" hidden="1">
      <c r="A238" s="36" t="s">
        <v>70</v>
      </c>
      <c r="B238" s="37" t="s">
        <v>72</v>
      </c>
      <c r="C238" s="37" t="s">
        <v>16</v>
      </c>
      <c r="D238" s="126" t="s">
        <v>160</v>
      </c>
      <c r="E238" s="126"/>
      <c r="F238" s="127"/>
    </row>
    <row r="239" spans="1:8" hidden="1">
      <c r="A239" s="122" t="s">
        <v>62</v>
      </c>
      <c r="B239" s="16" t="s">
        <v>68</v>
      </c>
      <c r="C239" s="16">
        <v>8</v>
      </c>
      <c r="D239" s="129">
        <f>C239/9</f>
        <v>0.88888888888888884</v>
      </c>
      <c r="E239" s="129"/>
      <c r="F239" s="124"/>
    </row>
    <row r="240" spans="1:8" ht="16.5" hidden="1" thickBot="1">
      <c r="A240" s="128"/>
      <c r="B240" s="20" t="s">
        <v>69</v>
      </c>
      <c r="C240" s="20">
        <v>1</v>
      </c>
      <c r="D240" s="130"/>
      <c r="E240" s="130"/>
      <c r="F240" s="131"/>
    </row>
    <row r="241" spans="1:8" hidden="1"/>
    <row r="242" spans="1:8" hidden="1">
      <c r="A242" s="14" t="s">
        <v>409</v>
      </c>
      <c r="B242" s="14"/>
      <c r="C242" s="14"/>
      <c r="D242" s="14"/>
      <c r="E242" s="14"/>
      <c r="F242" s="14"/>
      <c r="G242" s="14"/>
      <c r="H242" s="14"/>
    </row>
    <row r="243" spans="1:8" hidden="1">
      <c r="A243" s="3" t="s">
        <v>58</v>
      </c>
      <c r="B243" s="4" t="s">
        <v>67</v>
      </c>
      <c r="C243" s="4" t="s">
        <v>3</v>
      </c>
      <c r="D243" s="4" t="s">
        <v>57</v>
      </c>
      <c r="E243" s="4" t="s">
        <v>59</v>
      </c>
      <c r="F243" s="4" t="s">
        <v>61</v>
      </c>
      <c r="G243" s="4" t="s">
        <v>60</v>
      </c>
      <c r="H243" s="5" t="s">
        <v>66</v>
      </c>
    </row>
    <row r="244" spans="1:8" ht="63" hidden="1">
      <c r="A244" s="28">
        <v>45915</v>
      </c>
      <c r="B244" s="16" t="s">
        <v>76</v>
      </c>
      <c r="C244" s="16" t="s">
        <v>1414</v>
      </c>
      <c r="D244" s="16" t="s">
        <v>1518</v>
      </c>
      <c r="E244" s="16" t="s">
        <v>41</v>
      </c>
      <c r="F244" s="16" t="s">
        <v>71</v>
      </c>
      <c r="G244" s="17" t="s">
        <v>1519</v>
      </c>
      <c r="H244" s="29"/>
    </row>
    <row r="245" spans="1:8" ht="47.25" hidden="1">
      <c r="A245" s="28">
        <v>45915</v>
      </c>
      <c r="B245" s="16" t="s">
        <v>75</v>
      </c>
      <c r="C245" s="16" t="s">
        <v>1233</v>
      </c>
      <c r="D245" s="16" t="s">
        <v>1520</v>
      </c>
      <c r="E245" s="16" t="s">
        <v>41</v>
      </c>
      <c r="F245" s="16" t="s">
        <v>71</v>
      </c>
      <c r="G245" s="17" t="s">
        <v>1521</v>
      </c>
      <c r="H245" s="29"/>
    </row>
    <row r="246" spans="1:8" hidden="1">
      <c r="A246" s="28">
        <v>45915</v>
      </c>
      <c r="B246" s="16" t="s">
        <v>75</v>
      </c>
      <c r="C246" s="16" t="s">
        <v>1233</v>
      </c>
      <c r="D246" s="16" t="s">
        <v>1242</v>
      </c>
      <c r="E246" s="16" t="s">
        <v>41</v>
      </c>
      <c r="F246" s="16" t="s">
        <v>77</v>
      </c>
      <c r="G246" s="17" t="s">
        <v>1385</v>
      </c>
      <c r="H246" s="29"/>
    </row>
    <row r="247" spans="1:8" hidden="1">
      <c r="A247" s="28">
        <v>45915</v>
      </c>
      <c r="B247" s="16" t="s">
        <v>75</v>
      </c>
      <c r="C247" s="16" t="s">
        <v>1360</v>
      </c>
      <c r="D247" s="16" t="s">
        <v>1361</v>
      </c>
      <c r="E247" s="16" t="s">
        <v>41</v>
      </c>
      <c r="F247" s="16" t="s">
        <v>64</v>
      </c>
      <c r="G247" s="17" t="s">
        <v>1522</v>
      </c>
      <c r="H247" s="29"/>
    </row>
    <row r="248" spans="1:8" ht="31.5" hidden="1">
      <c r="A248" s="28">
        <v>45915</v>
      </c>
      <c r="B248" s="16" t="s">
        <v>75</v>
      </c>
      <c r="C248" s="16" t="s">
        <v>1425</v>
      </c>
      <c r="D248" s="16" t="s">
        <v>1523</v>
      </c>
      <c r="E248" s="16" t="s">
        <v>41</v>
      </c>
      <c r="F248" s="16" t="s">
        <v>77</v>
      </c>
      <c r="G248" s="17" t="s">
        <v>1524</v>
      </c>
      <c r="H248" s="29"/>
    </row>
    <row r="249" spans="1:8" ht="110.25" hidden="1">
      <c r="A249" s="28">
        <v>45916</v>
      </c>
      <c r="B249" s="16" t="s">
        <v>76</v>
      </c>
      <c r="C249" s="16" t="s">
        <v>1210</v>
      </c>
      <c r="D249" s="16" t="s">
        <v>1525</v>
      </c>
      <c r="E249" s="16" t="s">
        <v>40</v>
      </c>
      <c r="F249" s="16" t="s">
        <v>71</v>
      </c>
      <c r="G249" s="17" t="s">
        <v>1526</v>
      </c>
      <c r="H249" s="29"/>
    </row>
    <row r="250" spans="1:8" ht="78.75" hidden="1">
      <c r="A250" s="28">
        <v>45916</v>
      </c>
      <c r="B250" s="16" t="s">
        <v>197</v>
      </c>
      <c r="C250" s="16" t="s">
        <v>1213</v>
      </c>
      <c r="D250" s="16" t="s">
        <v>1509</v>
      </c>
      <c r="E250" s="16" t="s">
        <v>40</v>
      </c>
      <c r="F250" s="16" t="s">
        <v>71</v>
      </c>
      <c r="G250" s="17" t="s">
        <v>1527</v>
      </c>
      <c r="H250" s="29"/>
    </row>
    <row r="251" spans="1:8" hidden="1">
      <c r="A251" s="28">
        <v>45916</v>
      </c>
      <c r="B251" s="16" t="s">
        <v>75</v>
      </c>
      <c r="C251" s="16" t="s">
        <v>1505</v>
      </c>
      <c r="D251" s="16" t="s">
        <v>1506</v>
      </c>
      <c r="E251" s="16" t="s">
        <v>41</v>
      </c>
      <c r="F251" s="16" t="s">
        <v>77</v>
      </c>
      <c r="G251" s="17" t="s">
        <v>1385</v>
      </c>
      <c r="H251" s="29"/>
    </row>
    <row r="252" spans="1:8" ht="31.5" hidden="1">
      <c r="A252" s="28">
        <v>45916</v>
      </c>
      <c r="B252" s="16" t="s">
        <v>91</v>
      </c>
      <c r="C252" s="16" t="s">
        <v>1528</v>
      </c>
      <c r="D252" s="16" t="s">
        <v>1529</v>
      </c>
      <c r="E252" s="16" t="s">
        <v>41</v>
      </c>
      <c r="F252" s="16" t="s">
        <v>71</v>
      </c>
      <c r="G252" s="17" t="s">
        <v>1530</v>
      </c>
      <c r="H252" s="29"/>
    </row>
    <row r="253" spans="1:8" ht="63" hidden="1">
      <c r="A253" s="28">
        <v>45916</v>
      </c>
      <c r="B253" s="16" t="s">
        <v>75</v>
      </c>
      <c r="C253" s="16" t="s">
        <v>1531</v>
      </c>
      <c r="D253" s="16" t="s">
        <v>1532</v>
      </c>
      <c r="E253" s="16" t="s">
        <v>41</v>
      </c>
      <c r="F253" s="16" t="s">
        <v>77</v>
      </c>
      <c r="G253" s="17" t="s">
        <v>1533</v>
      </c>
      <c r="H253" s="29"/>
    </row>
    <row r="254" spans="1:8" ht="47.25" hidden="1">
      <c r="A254" s="28">
        <v>45916</v>
      </c>
      <c r="B254" s="16" t="s">
        <v>76</v>
      </c>
      <c r="C254" s="16" t="s">
        <v>1326</v>
      </c>
      <c r="D254" s="16" t="s">
        <v>1534</v>
      </c>
      <c r="E254" s="16" t="s">
        <v>41</v>
      </c>
      <c r="F254" s="16" t="s">
        <v>71</v>
      </c>
      <c r="G254" s="17" t="s">
        <v>1535</v>
      </c>
      <c r="H254" s="29"/>
    </row>
    <row r="255" spans="1:8" ht="141.75" hidden="1">
      <c r="A255" s="28">
        <v>45917</v>
      </c>
      <c r="B255" s="16" t="s">
        <v>76</v>
      </c>
      <c r="C255" s="16" t="s">
        <v>1247</v>
      </c>
      <c r="D255" s="16" t="s">
        <v>1248</v>
      </c>
      <c r="E255" s="16" t="s">
        <v>40</v>
      </c>
      <c r="F255" s="16" t="s">
        <v>71</v>
      </c>
      <c r="G255" s="17" t="s">
        <v>1536</v>
      </c>
      <c r="H255" s="29"/>
    </row>
    <row r="256" spans="1:8" ht="47.25" hidden="1">
      <c r="A256" s="28">
        <v>45917</v>
      </c>
      <c r="B256" s="16" t="s">
        <v>197</v>
      </c>
      <c r="C256" s="16" t="s">
        <v>1203</v>
      </c>
      <c r="D256" s="16" t="s">
        <v>1286</v>
      </c>
      <c r="E256" s="16" t="s">
        <v>40</v>
      </c>
      <c r="F256" s="16" t="s">
        <v>71</v>
      </c>
      <c r="G256" s="17" t="s">
        <v>1537</v>
      </c>
      <c r="H256" s="29"/>
    </row>
    <row r="257" spans="1:8" ht="94.5" hidden="1">
      <c r="A257" s="28">
        <v>45917</v>
      </c>
      <c r="B257" s="16" t="s">
        <v>91</v>
      </c>
      <c r="C257" s="16" t="s">
        <v>1452</v>
      </c>
      <c r="D257" s="16" t="s">
        <v>1483</v>
      </c>
      <c r="E257" s="16" t="s">
        <v>41</v>
      </c>
      <c r="F257" s="16" t="s">
        <v>64</v>
      </c>
      <c r="G257" s="17" t="s">
        <v>1538</v>
      </c>
      <c r="H257" s="29"/>
    </row>
    <row r="258" spans="1:8" hidden="1">
      <c r="A258" s="28">
        <v>45917</v>
      </c>
      <c r="B258" s="16" t="s">
        <v>75</v>
      </c>
      <c r="C258" s="16" t="s">
        <v>1505</v>
      </c>
      <c r="D258" s="16" t="s">
        <v>1506</v>
      </c>
      <c r="E258" s="16" t="s">
        <v>41</v>
      </c>
      <c r="F258" s="16" t="s">
        <v>77</v>
      </c>
      <c r="G258" s="17" t="s">
        <v>1539</v>
      </c>
      <c r="H258" s="29"/>
    </row>
    <row r="259" spans="1:8" hidden="1">
      <c r="A259" s="28">
        <v>45917</v>
      </c>
      <c r="B259" s="16" t="s">
        <v>91</v>
      </c>
      <c r="C259" s="16" t="s">
        <v>1540</v>
      </c>
      <c r="D259" s="16" t="s">
        <v>1541</v>
      </c>
      <c r="E259" s="16" t="s">
        <v>41</v>
      </c>
      <c r="F259" s="16" t="s">
        <v>77</v>
      </c>
      <c r="G259" s="17" t="s">
        <v>1542</v>
      </c>
      <c r="H259" s="29"/>
    </row>
    <row r="260" spans="1:8" hidden="1">
      <c r="A260" s="28">
        <v>45917</v>
      </c>
      <c r="B260" s="16" t="s">
        <v>91</v>
      </c>
      <c r="C260" s="16" t="s">
        <v>1543</v>
      </c>
      <c r="D260" s="16" t="s">
        <v>1544</v>
      </c>
      <c r="E260" s="16" t="s">
        <v>41</v>
      </c>
      <c r="F260" s="16" t="s">
        <v>77</v>
      </c>
      <c r="G260" s="17" t="s">
        <v>1545</v>
      </c>
      <c r="H260" s="29"/>
    </row>
    <row r="261" spans="1:8" hidden="1">
      <c r="A261" s="28">
        <v>45917</v>
      </c>
      <c r="B261" s="16" t="s">
        <v>75</v>
      </c>
      <c r="C261" s="16" t="s">
        <v>406</v>
      </c>
      <c r="D261" s="16" t="s">
        <v>1369</v>
      </c>
      <c r="E261" s="16" t="s">
        <v>41</v>
      </c>
      <c r="F261" s="16" t="s">
        <v>77</v>
      </c>
      <c r="G261" s="17" t="s">
        <v>1542</v>
      </c>
      <c r="H261" s="29"/>
    </row>
    <row r="262" spans="1:8" hidden="1">
      <c r="A262" s="28">
        <v>45917</v>
      </c>
      <c r="B262" s="16" t="s">
        <v>75</v>
      </c>
      <c r="C262" s="16" t="s">
        <v>1546</v>
      </c>
      <c r="D262" s="16" t="s">
        <v>1547</v>
      </c>
      <c r="E262" s="16" t="s">
        <v>41</v>
      </c>
      <c r="F262" s="16" t="s">
        <v>77</v>
      </c>
      <c r="G262" s="17" t="s">
        <v>1548</v>
      </c>
      <c r="H262" s="29"/>
    </row>
    <row r="263" spans="1:8" ht="31.5" hidden="1">
      <c r="A263" s="28">
        <v>45917</v>
      </c>
      <c r="B263" s="16" t="s">
        <v>197</v>
      </c>
      <c r="C263" s="16" t="s">
        <v>1314</v>
      </c>
      <c r="D263" s="16" t="s">
        <v>1315</v>
      </c>
      <c r="E263" s="16" t="s">
        <v>41</v>
      </c>
      <c r="F263" s="16" t="s">
        <v>77</v>
      </c>
      <c r="G263" s="17" t="s">
        <v>1549</v>
      </c>
      <c r="H263" s="29"/>
    </row>
    <row r="264" spans="1:8" ht="31.5" hidden="1">
      <c r="A264" s="28">
        <v>45918</v>
      </c>
      <c r="B264" s="16" t="s">
        <v>76</v>
      </c>
      <c r="C264" s="16" t="s">
        <v>1230</v>
      </c>
      <c r="D264" s="16" t="s">
        <v>1550</v>
      </c>
      <c r="E264" s="16" t="s">
        <v>41</v>
      </c>
      <c r="F264" s="16" t="s">
        <v>64</v>
      </c>
      <c r="G264" s="17" t="s">
        <v>1551</v>
      </c>
      <c r="H264" s="29"/>
    </row>
    <row r="265" spans="1:8" ht="31.5" hidden="1">
      <c r="A265" s="28">
        <v>45918</v>
      </c>
      <c r="B265" s="16" t="s">
        <v>76</v>
      </c>
      <c r="C265" s="16" t="s">
        <v>1202</v>
      </c>
      <c r="D265" s="16" t="s">
        <v>1552</v>
      </c>
      <c r="E265" s="16" t="s">
        <v>41</v>
      </c>
      <c r="F265" s="16" t="s">
        <v>64</v>
      </c>
      <c r="G265" s="17" t="s">
        <v>1553</v>
      </c>
      <c r="H265" s="29"/>
    </row>
    <row r="266" spans="1:8" hidden="1">
      <c r="A266" s="28">
        <v>45918</v>
      </c>
      <c r="B266" s="16" t="s">
        <v>75</v>
      </c>
      <c r="C266" s="16" t="s">
        <v>1261</v>
      </c>
      <c r="D266" s="16" t="s">
        <v>1493</v>
      </c>
      <c r="E266" s="16" t="s">
        <v>41</v>
      </c>
      <c r="F266" s="16" t="s">
        <v>77</v>
      </c>
      <c r="G266" s="17" t="s">
        <v>1554</v>
      </c>
      <c r="H266" s="29"/>
    </row>
    <row r="267" spans="1:8" ht="157.5" hidden="1">
      <c r="A267" s="28">
        <v>45918</v>
      </c>
      <c r="B267" s="16" t="s">
        <v>75</v>
      </c>
      <c r="C267" s="16" t="s">
        <v>1233</v>
      </c>
      <c r="D267" s="16" t="s">
        <v>1242</v>
      </c>
      <c r="E267" s="16" t="s">
        <v>41</v>
      </c>
      <c r="F267" s="16" t="s">
        <v>71</v>
      </c>
      <c r="G267" s="17" t="s">
        <v>1555</v>
      </c>
      <c r="H267" s="29"/>
    </row>
    <row r="268" spans="1:8" hidden="1">
      <c r="A268" s="28">
        <v>45918</v>
      </c>
      <c r="B268" s="16" t="s">
        <v>76</v>
      </c>
      <c r="C268" s="16" t="s">
        <v>1247</v>
      </c>
      <c r="D268" s="16" t="s">
        <v>1556</v>
      </c>
      <c r="E268" s="16" t="s">
        <v>41</v>
      </c>
      <c r="F268" s="16" t="s">
        <v>64</v>
      </c>
      <c r="G268" s="17" t="s">
        <v>1557</v>
      </c>
      <c r="H268" s="29"/>
    </row>
    <row r="269" spans="1:8" ht="47.25" hidden="1">
      <c r="A269" s="28">
        <v>45918</v>
      </c>
      <c r="B269" s="16" t="s">
        <v>75</v>
      </c>
      <c r="C269" s="16" t="s">
        <v>1256</v>
      </c>
      <c r="D269" s="16" t="s">
        <v>1558</v>
      </c>
      <c r="E269" s="16" t="s">
        <v>41</v>
      </c>
      <c r="F269" s="16" t="s">
        <v>64</v>
      </c>
      <c r="G269" s="17" t="s">
        <v>1559</v>
      </c>
      <c r="H269" s="29"/>
    </row>
    <row r="270" spans="1:8" ht="110.25" hidden="1">
      <c r="A270" s="28">
        <v>45918</v>
      </c>
      <c r="B270" s="16" t="s">
        <v>91</v>
      </c>
      <c r="C270" s="16" t="s">
        <v>1560</v>
      </c>
      <c r="D270" s="16" t="s">
        <v>1483</v>
      </c>
      <c r="E270" s="16" t="s">
        <v>41</v>
      </c>
      <c r="F270" s="16" t="s">
        <v>64</v>
      </c>
      <c r="G270" s="17" t="s">
        <v>1561</v>
      </c>
      <c r="H270" s="29"/>
    </row>
    <row r="271" spans="1:8" ht="47.25" hidden="1">
      <c r="A271" s="28">
        <v>45918</v>
      </c>
      <c r="B271" s="16" t="s">
        <v>91</v>
      </c>
      <c r="C271" s="17" t="s">
        <v>1562</v>
      </c>
      <c r="D271" s="16" t="s">
        <v>1563</v>
      </c>
      <c r="E271" s="16" t="s">
        <v>41</v>
      </c>
      <c r="F271" s="16" t="s">
        <v>77</v>
      </c>
      <c r="G271" s="17" t="s">
        <v>1564</v>
      </c>
      <c r="H271" s="29"/>
    </row>
    <row r="272" spans="1:8" ht="47.25" hidden="1">
      <c r="A272" s="28">
        <v>45918</v>
      </c>
      <c r="B272" s="16" t="s">
        <v>91</v>
      </c>
      <c r="C272" s="16" t="s">
        <v>1565</v>
      </c>
      <c r="D272" s="16" t="s">
        <v>1566</v>
      </c>
      <c r="E272" s="16" t="s">
        <v>41</v>
      </c>
      <c r="F272" s="16" t="s">
        <v>77</v>
      </c>
      <c r="G272" s="101" t="s">
        <v>1567</v>
      </c>
      <c r="H272" s="29"/>
    </row>
    <row r="273" spans="1:8" hidden="1">
      <c r="A273" s="28">
        <v>45918</v>
      </c>
      <c r="B273" s="16" t="s">
        <v>75</v>
      </c>
      <c r="C273" s="16" t="s">
        <v>1397</v>
      </c>
      <c r="D273" s="16" t="s">
        <v>1422</v>
      </c>
      <c r="E273" s="16" t="s">
        <v>41</v>
      </c>
      <c r="F273" s="16" t="s">
        <v>77</v>
      </c>
      <c r="G273" s="17" t="s">
        <v>1385</v>
      </c>
      <c r="H273" s="29"/>
    </row>
    <row r="274" spans="1:8" hidden="1">
      <c r="A274" s="28">
        <v>45918</v>
      </c>
      <c r="B274" s="16" t="s">
        <v>91</v>
      </c>
      <c r="C274" s="16" t="s">
        <v>1568</v>
      </c>
      <c r="D274" s="16" t="s">
        <v>206</v>
      </c>
      <c r="E274" s="16" t="s">
        <v>41</v>
      </c>
      <c r="F274" s="16" t="s">
        <v>77</v>
      </c>
      <c r="G274" s="17" t="s">
        <v>1569</v>
      </c>
      <c r="H274" s="29"/>
    </row>
    <row r="275" spans="1:8" hidden="1">
      <c r="A275" s="28">
        <v>45918</v>
      </c>
      <c r="B275" s="16" t="s">
        <v>91</v>
      </c>
      <c r="C275" s="16" t="s">
        <v>1570</v>
      </c>
      <c r="D275" s="16"/>
      <c r="E275" s="16" t="s">
        <v>41</v>
      </c>
      <c r="F275" s="16" t="s">
        <v>77</v>
      </c>
      <c r="G275" s="17" t="s">
        <v>1571</v>
      </c>
      <c r="H275" s="29"/>
    </row>
    <row r="276" spans="1:8" hidden="1">
      <c r="A276" s="28">
        <v>45918</v>
      </c>
      <c r="B276" s="16" t="s">
        <v>91</v>
      </c>
      <c r="C276" s="16" t="s">
        <v>1572</v>
      </c>
      <c r="D276" s="16" t="s">
        <v>1573</v>
      </c>
      <c r="E276" s="16" t="s">
        <v>41</v>
      </c>
      <c r="F276" s="16" t="s">
        <v>77</v>
      </c>
      <c r="G276" s="17" t="s">
        <v>1574</v>
      </c>
      <c r="H276" s="29"/>
    </row>
    <row r="277" spans="1:8" ht="31.5" hidden="1">
      <c r="A277" s="28">
        <v>45918</v>
      </c>
      <c r="B277" s="16" t="s">
        <v>91</v>
      </c>
      <c r="C277" s="16" t="s">
        <v>1575</v>
      </c>
      <c r="D277" s="16" t="s">
        <v>206</v>
      </c>
      <c r="E277" s="16" t="s">
        <v>41</v>
      </c>
      <c r="F277" s="16" t="s">
        <v>77</v>
      </c>
      <c r="G277" s="17" t="s">
        <v>1576</v>
      </c>
      <c r="H277" s="29"/>
    </row>
    <row r="278" spans="1:8" ht="94.5" hidden="1">
      <c r="A278" s="28">
        <v>45919</v>
      </c>
      <c r="B278" s="16" t="s">
        <v>197</v>
      </c>
      <c r="C278" s="16" t="s">
        <v>1577</v>
      </c>
      <c r="D278" s="16" t="s">
        <v>1578</v>
      </c>
      <c r="E278" s="16" t="s">
        <v>40</v>
      </c>
      <c r="F278" s="16" t="s">
        <v>71</v>
      </c>
      <c r="G278" s="17" t="s">
        <v>1579</v>
      </c>
      <c r="H278" s="29"/>
    </row>
    <row r="279" spans="1:8" ht="63" hidden="1">
      <c r="A279" s="28">
        <v>45919</v>
      </c>
      <c r="B279" s="16" t="s">
        <v>75</v>
      </c>
      <c r="C279" s="16" t="s">
        <v>1560</v>
      </c>
      <c r="D279" s="16" t="s">
        <v>1580</v>
      </c>
      <c r="E279" s="16" t="s">
        <v>40</v>
      </c>
      <c r="F279" s="16" t="s">
        <v>71</v>
      </c>
      <c r="G279" s="17" t="s">
        <v>1581</v>
      </c>
      <c r="H279" s="29"/>
    </row>
    <row r="280" spans="1:8" hidden="1"/>
    <row r="281" spans="1:8" hidden="1">
      <c r="A281" s="3" t="s">
        <v>70</v>
      </c>
      <c r="B281" s="4" t="s">
        <v>72</v>
      </c>
      <c r="C281" s="4" t="s">
        <v>16</v>
      </c>
      <c r="D281" s="34" t="s">
        <v>155</v>
      </c>
      <c r="E281" s="9" t="s">
        <v>156</v>
      </c>
      <c r="F281" s="10" t="s">
        <v>157</v>
      </c>
    </row>
    <row r="282" spans="1:8" hidden="1">
      <c r="A282" s="132" t="s">
        <v>63</v>
      </c>
      <c r="B282" s="99" t="s">
        <v>68</v>
      </c>
      <c r="C282" s="99">
        <v>5</v>
      </c>
      <c r="D282" s="99">
        <f>C282</f>
        <v>5</v>
      </c>
      <c r="E282" s="133">
        <f>D282+D284+D286</f>
        <v>7.3333333333333339</v>
      </c>
      <c r="F282" s="134">
        <f>E282/12</f>
        <v>0.61111111111111116</v>
      </c>
    </row>
    <row r="283" spans="1:8" hidden="1">
      <c r="A283" s="122"/>
      <c r="B283" s="125" t="s">
        <v>65</v>
      </c>
      <c r="C283" s="125">
        <v>7</v>
      </c>
      <c r="D283" s="35" t="s">
        <v>158</v>
      </c>
      <c r="E283" s="123"/>
      <c r="F283" s="124"/>
    </row>
    <row r="284" spans="1:8" hidden="1">
      <c r="A284" s="122"/>
      <c r="B284" s="125"/>
      <c r="C284" s="125"/>
      <c r="D284" s="16">
        <f>C283/3</f>
        <v>2.3333333333333335</v>
      </c>
      <c r="E284" s="123"/>
      <c r="F284" s="124"/>
    </row>
    <row r="285" spans="1:8" hidden="1">
      <c r="A285" s="122"/>
      <c r="B285" s="125" t="s">
        <v>69</v>
      </c>
      <c r="C285" s="125">
        <v>18</v>
      </c>
      <c r="D285" s="35" t="s">
        <v>159</v>
      </c>
      <c r="E285" s="123"/>
      <c r="F285" s="124"/>
    </row>
    <row r="286" spans="1:8" hidden="1">
      <c r="A286" s="122"/>
      <c r="B286" s="125"/>
      <c r="C286" s="125"/>
      <c r="D286" s="16">
        <v>0</v>
      </c>
      <c r="E286" s="123"/>
      <c r="F286" s="124"/>
    </row>
    <row r="287" spans="1:8" hidden="1">
      <c r="A287" s="36" t="s">
        <v>70</v>
      </c>
      <c r="B287" s="37" t="s">
        <v>72</v>
      </c>
      <c r="C287" s="37" t="s">
        <v>16</v>
      </c>
      <c r="D287" s="126" t="s">
        <v>160</v>
      </c>
      <c r="E287" s="126"/>
      <c r="F287" s="127"/>
    </row>
    <row r="288" spans="1:8" hidden="1">
      <c r="A288" s="122" t="s">
        <v>62</v>
      </c>
      <c r="B288" s="16" t="s">
        <v>68</v>
      </c>
      <c r="C288" s="16">
        <v>6</v>
      </c>
      <c r="D288" s="129">
        <f>C288/9</f>
        <v>0.66666666666666663</v>
      </c>
      <c r="E288" s="129"/>
      <c r="F288" s="124"/>
    </row>
    <row r="289" spans="1:8" ht="16.5" hidden="1" thickBot="1">
      <c r="A289" s="128"/>
      <c r="B289" s="20" t="s">
        <v>69</v>
      </c>
      <c r="C289" s="20">
        <v>0</v>
      </c>
      <c r="D289" s="130"/>
      <c r="E289" s="130"/>
      <c r="F289" s="131"/>
    </row>
    <row r="290" spans="1:8" hidden="1"/>
    <row r="291" spans="1:8" hidden="1">
      <c r="A291" s="14" t="s">
        <v>427</v>
      </c>
      <c r="B291" s="14"/>
      <c r="C291" s="14"/>
      <c r="D291" s="14"/>
      <c r="E291" s="14"/>
      <c r="F291" s="14"/>
      <c r="G291" s="14"/>
      <c r="H291" s="14"/>
    </row>
    <row r="292" spans="1:8" hidden="1">
      <c r="A292" s="37" t="s">
        <v>58</v>
      </c>
      <c r="B292" s="37" t="s">
        <v>67</v>
      </c>
      <c r="C292" s="37" t="s">
        <v>3</v>
      </c>
      <c r="D292" s="37" t="s">
        <v>57</v>
      </c>
      <c r="E292" s="37" t="s">
        <v>59</v>
      </c>
      <c r="F292" s="37" t="s">
        <v>61</v>
      </c>
      <c r="G292" s="37" t="s">
        <v>60</v>
      </c>
      <c r="H292" s="37" t="s">
        <v>66</v>
      </c>
    </row>
    <row r="293" spans="1:8" ht="330.75" hidden="1">
      <c r="A293" s="102">
        <v>45922</v>
      </c>
      <c r="B293" s="16" t="s">
        <v>75</v>
      </c>
      <c r="C293" s="16" t="s">
        <v>1582</v>
      </c>
      <c r="D293" s="16" t="s">
        <v>1583</v>
      </c>
      <c r="E293" s="16" t="s">
        <v>40</v>
      </c>
      <c r="F293" s="16" t="s">
        <v>71</v>
      </c>
      <c r="G293" s="17" t="s">
        <v>1584</v>
      </c>
      <c r="H293" s="16"/>
    </row>
    <row r="294" spans="1:8" ht="31.5" hidden="1">
      <c r="A294" s="102">
        <v>45922</v>
      </c>
      <c r="B294" s="16" t="s">
        <v>197</v>
      </c>
      <c r="C294" s="16" t="s">
        <v>1585</v>
      </c>
      <c r="D294" s="16" t="s">
        <v>1586</v>
      </c>
      <c r="E294" s="16" t="s">
        <v>41</v>
      </c>
      <c r="F294" s="16" t="s">
        <v>71</v>
      </c>
      <c r="G294" s="17" t="s">
        <v>1587</v>
      </c>
      <c r="H294" s="16"/>
    </row>
    <row r="295" spans="1:8" hidden="1">
      <c r="A295" s="102">
        <v>45922</v>
      </c>
      <c r="B295" s="16" t="s">
        <v>75</v>
      </c>
      <c r="C295" s="16" t="s">
        <v>407</v>
      </c>
      <c r="D295" s="16" t="s">
        <v>423</v>
      </c>
      <c r="E295" s="16" t="s">
        <v>41</v>
      </c>
      <c r="F295" s="16" t="s">
        <v>71</v>
      </c>
      <c r="G295" s="17" t="s">
        <v>1588</v>
      </c>
      <c r="H295" s="16"/>
    </row>
    <row r="296" spans="1:8" ht="63" hidden="1">
      <c r="A296" s="102">
        <v>45923</v>
      </c>
      <c r="B296" s="16" t="s">
        <v>75</v>
      </c>
      <c r="C296" s="16" t="s">
        <v>1589</v>
      </c>
      <c r="D296" s="16" t="s">
        <v>1315</v>
      </c>
      <c r="E296" s="16" t="s">
        <v>40</v>
      </c>
      <c r="F296" s="16" t="s">
        <v>71</v>
      </c>
      <c r="G296" s="17" t="s">
        <v>1590</v>
      </c>
      <c r="H296" s="16"/>
    </row>
    <row r="297" spans="1:8" ht="47.25" hidden="1">
      <c r="A297" s="102">
        <v>45923</v>
      </c>
      <c r="B297" s="16" t="s">
        <v>76</v>
      </c>
      <c r="C297" s="16" t="s">
        <v>1236</v>
      </c>
      <c r="D297" s="16" t="s">
        <v>1345</v>
      </c>
      <c r="E297" s="16" t="s">
        <v>40</v>
      </c>
      <c r="F297" s="16" t="s">
        <v>71</v>
      </c>
      <c r="G297" s="17" t="s">
        <v>1591</v>
      </c>
      <c r="H297" s="16"/>
    </row>
    <row r="298" spans="1:8" ht="110.25" hidden="1">
      <c r="A298" s="102">
        <v>45923</v>
      </c>
      <c r="B298" s="16" t="s">
        <v>75</v>
      </c>
      <c r="C298" s="16" t="s">
        <v>1230</v>
      </c>
      <c r="D298" s="16" t="s">
        <v>1550</v>
      </c>
      <c r="E298" s="16" t="s">
        <v>40</v>
      </c>
      <c r="F298" s="16" t="s">
        <v>71</v>
      </c>
      <c r="G298" s="17" t="s">
        <v>1592</v>
      </c>
      <c r="H298" s="16"/>
    </row>
    <row r="299" spans="1:8" hidden="1">
      <c r="A299" s="102">
        <v>45923</v>
      </c>
      <c r="B299" s="16" t="s">
        <v>75</v>
      </c>
      <c r="C299" s="16" t="s">
        <v>1505</v>
      </c>
      <c r="D299" s="16" t="s">
        <v>1506</v>
      </c>
      <c r="E299" s="16" t="s">
        <v>41</v>
      </c>
      <c r="F299" s="16" t="s">
        <v>77</v>
      </c>
      <c r="G299" s="17" t="s">
        <v>1385</v>
      </c>
      <c r="H299" s="16"/>
    </row>
    <row r="300" spans="1:8" hidden="1">
      <c r="A300" s="102">
        <v>45923</v>
      </c>
      <c r="B300" s="16" t="s">
        <v>76</v>
      </c>
      <c r="C300" s="16" t="s">
        <v>1233</v>
      </c>
      <c r="D300" s="16" t="s">
        <v>1242</v>
      </c>
      <c r="E300" s="16" t="s">
        <v>41</v>
      </c>
      <c r="F300" s="16" t="s">
        <v>77</v>
      </c>
      <c r="G300" s="17" t="s">
        <v>1545</v>
      </c>
      <c r="H300" s="16"/>
    </row>
    <row r="301" spans="1:8" hidden="1">
      <c r="A301" s="102">
        <v>45923</v>
      </c>
      <c r="B301" s="16" t="s">
        <v>91</v>
      </c>
      <c r="C301" s="16" t="s">
        <v>1593</v>
      </c>
      <c r="D301" s="16" t="s">
        <v>1055</v>
      </c>
      <c r="E301" s="16" t="s">
        <v>41</v>
      </c>
      <c r="F301" s="16" t="s">
        <v>77</v>
      </c>
      <c r="G301" s="17" t="s">
        <v>1385</v>
      </c>
      <c r="H301" s="16"/>
    </row>
    <row r="302" spans="1:8" ht="126" hidden="1">
      <c r="A302" s="102">
        <v>45924</v>
      </c>
      <c r="B302" s="16" t="s">
        <v>76</v>
      </c>
      <c r="C302" s="16" t="s">
        <v>1247</v>
      </c>
      <c r="D302" s="16" t="s">
        <v>1556</v>
      </c>
      <c r="E302" s="16" t="s">
        <v>40</v>
      </c>
      <c r="F302" s="16" t="s">
        <v>71</v>
      </c>
      <c r="G302" s="17" t="s">
        <v>1594</v>
      </c>
      <c r="H302" s="16"/>
    </row>
    <row r="303" spans="1:8" hidden="1">
      <c r="A303" s="102">
        <v>45924</v>
      </c>
      <c r="B303" s="16" t="s">
        <v>76</v>
      </c>
      <c r="C303" s="16" t="s">
        <v>1203</v>
      </c>
      <c r="D303" s="16" t="s">
        <v>1286</v>
      </c>
      <c r="E303" s="16" t="s">
        <v>40</v>
      </c>
      <c r="F303" s="16" t="s">
        <v>77</v>
      </c>
      <c r="G303" s="17" t="s">
        <v>1595</v>
      </c>
      <c r="H303" s="16"/>
    </row>
    <row r="304" spans="1:8" hidden="1">
      <c r="A304" s="102">
        <v>45924</v>
      </c>
      <c r="B304" s="16" t="s">
        <v>76</v>
      </c>
      <c r="C304" s="16" t="s">
        <v>1213</v>
      </c>
      <c r="D304" s="16" t="s">
        <v>1596</v>
      </c>
      <c r="E304" s="16" t="s">
        <v>40</v>
      </c>
      <c r="F304" s="16" t="s">
        <v>77</v>
      </c>
      <c r="G304" s="17" t="s">
        <v>1597</v>
      </c>
      <c r="H304" s="16"/>
    </row>
    <row r="305" spans="1:8" hidden="1">
      <c r="A305" s="102">
        <v>45924</v>
      </c>
      <c r="B305" s="16" t="s">
        <v>91</v>
      </c>
      <c r="C305" s="16" t="s">
        <v>1598</v>
      </c>
      <c r="D305" s="16" t="s">
        <v>206</v>
      </c>
      <c r="E305" s="16" t="s">
        <v>41</v>
      </c>
      <c r="F305" s="16" t="s">
        <v>77</v>
      </c>
      <c r="G305" s="17" t="s">
        <v>1599</v>
      </c>
      <c r="H305" s="16"/>
    </row>
    <row r="306" spans="1:8" hidden="1">
      <c r="A306" s="102">
        <v>45924</v>
      </c>
      <c r="B306" s="16" t="s">
        <v>91</v>
      </c>
      <c r="C306" s="16" t="s">
        <v>1600</v>
      </c>
      <c r="D306" s="16" t="s">
        <v>206</v>
      </c>
      <c r="E306" s="16" t="s">
        <v>41</v>
      </c>
      <c r="F306" s="16" t="s">
        <v>77</v>
      </c>
      <c r="G306" s="17" t="s">
        <v>1599</v>
      </c>
      <c r="H306" s="16"/>
    </row>
    <row r="307" spans="1:8" hidden="1">
      <c r="A307" s="102">
        <v>45924</v>
      </c>
      <c r="B307" s="16" t="s">
        <v>91</v>
      </c>
      <c r="C307" s="16" t="s">
        <v>1363</v>
      </c>
      <c r="D307" s="16" t="s">
        <v>206</v>
      </c>
      <c r="E307" s="16" t="s">
        <v>41</v>
      </c>
      <c r="F307" s="16" t="s">
        <v>77</v>
      </c>
      <c r="G307" s="17" t="s">
        <v>1601</v>
      </c>
      <c r="H307" s="16"/>
    </row>
    <row r="308" spans="1:8" hidden="1">
      <c r="A308" s="102">
        <v>45924</v>
      </c>
      <c r="B308" s="16" t="s">
        <v>91</v>
      </c>
      <c r="C308" s="16" t="s">
        <v>406</v>
      </c>
      <c r="D308" s="16" t="s">
        <v>1369</v>
      </c>
      <c r="E308" s="16" t="s">
        <v>41</v>
      </c>
      <c r="F308" s="16" t="s">
        <v>77</v>
      </c>
      <c r="G308" s="17" t="s">
        <v>1542</v>
      </c>
      <c r="H308" s="16"/>
    </row>
    <row r="309" spans="1:8" ht="31.5" hidden="1">
      <c r="A309" s="102">
        <v>45924</v>
      </c>
      <c r="B309" s="16" t="s">
        <v>197</v>
      </c>
      <c r="C309" s="16" t="s">
        <v>1207</v>
      </c>
      <c r="D309" s="16" t="s">
        <v>1602</v>
      </c>
      <c r="E309" s="16" t="s">
        <v>41</v>
      </c>
      <c r="F309" s="16" t="s">
        <v>71</v>
      </c>
      <c r="G309" s="17" t="s">
        <v>1603</v>
      </c>
      <c r="H309" s="16"/>
    </row>
    <row r="310" spans="1:8" hidden="1">
      <c r="A310" s="102">
        <v>45924</v>
      </c>
      <c r="B310" s="16" t="s">
        <v>76</v>
      </c>
      <c r="C310" s="16" t="s">
        <v>532</v>
      </c>
      <c r="D310" s="16" t="s">
        <v>539</v>
      </c>
      <c r="E310" s="16" t="s">
        <v>41</v>
      </c>
      <c r="F310" s="16" t="s">
        <v>64</v>
      </c>
      <c r="G310" s="17" t="s">
        <v>1604</v>
      </c>
      <c r="H310" s="16"/>
    </row>
    <row r="311" spans="1:8" hidden="1">
      <c r="A311" s="102">
        <v>45924</v>
      </c>
      <c r="B311" s="16" t="s">
        <v>75</v>
      </c>
      <c r="C311" s="16" t="s">
        <v>1386</v>
      </c>
      <c r="D311" s="16" t="s">
        <v>1605</v>
      </c>
      <c r="E311" s="16" t="s">
        <v>41</v>
      </c>
      <c r="F311" s="16" t="s">
        <v>77</v>
      </c>
      <c r="G311" s="17" t="s">
        <v>1385</v>
      </c>
      <c r="H311" s="16"/>
    </row>
    <row r="312" spans="1:8" ht="31.5" hidden="1">
      <c r="A312" s="102">
        <v>45924</v>
      </c>
      <c r="B312" s="16" t="s">
        <v>91</v>
      </c>
      <c r="C312" s="16" t="s">
        <v>1572</v>
      </c>
      <c r="D312" s="16" t="s">
        <v>1606</v>
      </c>
      <c r="E312" s="16" t="s">
        <v>41</v>
      </c>
      <c r="F312" s="16" t="s">
        <v>77</v>
      </c>
      <c r="G312" s="17" t="s">
        <v>1607</v>
      </c>
      <c r="H312" s="16"/>
    </row>
    <row r="313" spans="1:8" hidden="1">
      <c r="A313" s="102">
        <v>45924</v>
      </c>
      <c r="B313" s="16" t="s">
        <v>91</v>
      </c>
      <c r="C313" s="16" t="s">
        <v>1404</v>
      </c>
      <c r="D313" s="16" t="s">
        <v>1608</v>
      </c>
      <c r="E313" s="16" t="s">
        <v>41</v>
      </c>
      <c r="F313" s="16" t="s">
        <v>77</v>
      </c>
      <c r="G313" s="17" t="s">
        <v>1609</v>
      </c>
      <c r="H313" s="16"/>
    </row>
    <row r="314" spans="1:8" ht="110.25" hidden="1">
      <c r="A314" s="102">
        <v>45925</v>
      </c>
      <c r="B314" s="16" t="s">
        <v>76</v>
      </c>
      <c r="C314" s="16" t="s">
        <v>1256</v>
      </c>
      <c r="D314" s="16" t="s">
        <v>1610</v>
      </c>
      <c r="E314" s="16" t="s">
        <v>40</v>
      </c>
      <c r="F314" s="16" t="s">
        <v>71</v>
      </c>
      <c r="G314" s="17" t="s">
        <v>1611</v>
      </c>
      <c r="H314" s="16"/>
    </row>
    <row r="315" spans="1:8" ht="63" hidden="1">
      <c r="A315" s="102">
        <v>45925</v>
      </c>
      <c r="B315" s="16" t="s">
        <v>76</v>
      </c>
      <c r="C315" s="16" t="s">
        <v>1202</v>
      </c>
      <c r="D315" s="16" t="s">
        <v>1552</v>
      </c>
      <c r="E315" s="16" t="s">
        <v>40</v>
      </c>
      <c r="F315" s="16" t="s">
        <v>71</v>
      </c>
      <c r="G315" s="17" t="s">
        <v>1612</v>
      </c>
      <c r="H315" s="16"/>
    </row>
    <row r="316" spans="1:8" ht="94.5" hidden="1">
      <c r="A316" s="102">
        <v>45926</v>
      </c>
      <c r="B316" s="16" t="s">
        <v>76</v>
      </c>
      <c r="C316" s="16" t="s">
        <v>1233</v>
      </c>
      <c r="D316" s="16" t="s">
        <v>1613</v>
      </c>
      <c r="E316" s="16" t="s">
        <v>40</v>
      </c>
      <c r="F316" s="16" t="s">
        <v>71</v>
      </c>
      <c r="G316" s="17" t="s">
        <v>1614</v>
      </c>
      <c r="H316" s="16"/>
    </row>
    <row r="317" spans="1:8" ht="141.75" hidden="1">
      <c r="A317" s="102">
        <v>45926</v>
      </c>
      <c r="B317" s="16" t="s">
        <v>75</v>
      </c>
      <c r="C317" s="16" t="s">
        <v>1487</v>
      </c>
      <c r="D317" s="16" t="s">
        <v>1615</v>
      </c>
      <c r="E317" s="16" t="s">
        <v>40</v>
      </c>
      <c r="F317" s="16" t="s">
        <v>71</v>
      </c>
      <c r="G317" s="17" t="s">
        <v>1616</v>
      </c>
      <c r="H317" s="16"/>
    </row>
    <row r="318" spans="1:8" ht="78.75" hidden="1">
      <c r="A318" s="102">
        <v>45926</v>
      </c>
      <c r="B318" s="16" t="s">
        <v>76</v>
      </c>
      <c r="C318" s="16" t="s">
        <v>886</v>
      </c>
      <c r="D318" s="16" t="s">
        <v>1492</v>
      </c>
      <c r="E318" s="16" t="s">
        <v>40</v>
      </c>
      <c r="F318" s="16" t="s">
        <v>71</v>
      </c>
      <c r="G318" s="17" t="s">
        <v>1617</v>
      </c>
      <c r="H318" s="16"/>
    </row>
    <row r="319" spans="1:8" hidden="1"/>
    <row r="320" spans="1:8" hidden="1">
      <c r="A320" s="3" t="s">
        <v>70</v>
      </c>
      <c r="B320" s="4" t="s">
        <v>72</v>
      </c>
      <c r="C320" s="4" t="s">
        <v>16</v>
      </c>
      <c r="D320" s="34" t="s">
        <v>155</v>
      </c>
      <c r="E320" s="9" t="s">
        <v>156</v>
      </c>
      <c r="F320" s="10" t="s">
        <v>157</v>
      </c>
    </row>
    <row r="321" spans="1:8" hidden="1">
      <c r="A321" s="132" t="s">
        <v>63</v>
      </c>
      <c r="B321" s="99" t="s">
        <v>68</v>
      </c>
      <c r="C321" s="99">
        <v>3</v>
      </c>
      <c r="D321" s="99">
        <f>C321</f>
        <v>3</v>
      </c>
      <c r="E321" s="133">
        <f>D321+D323+D325</f>
        <v>3.3333333333333335</v>
      </c>
      <c r="F321" s="134">
        <f>E321/12</f>
        <v>0.27777777777777779</v>
      </c>
    </row>
    <row r="322" spans="1:8" hidden="1">
      <c r="A322" s="122"/>
      <c r="B322" s="125" t="s">
        <v>65</v>
      </c>
      <c r="C322" s="125">
        <v>1</v>
      </c>
      <c r="D322" s="35" t="s">
        <v>158</v>
      </c>
      <c r="E322" s="123"/>
      <c r="F322" s="124"/>
    </row>
    <row r="323" spans="1:8" hidden="1">
      <c r="A323" s="122"/>
      <c r="B323" s="125"/>
      <c r="C323" s="125"/>
      <c r="D323" s="16">
        <f>C322/3</f>
        <v>0.33333333333333331</v>
      </c>
      <c r="E323" s="123"/>
      <c r="F323" s="124"/>
    </row>
    <row r="324" spans="1:8" hidden="1">
      <c r="A324" s="122"/>
      <c r="B324" s="125" t="s">
        <v>69</v>
      </c>
      <c r="C324" s="125">
        <v>10</v>
      </c>
      <c r="D324" s="35" t="s">
        <v>159</v>
      </c>
      <c r="E324" s="123"/>
      <c r="F324" s="124"/>
    </row>
    <row r="325" spans="1:8" hidden="1">
      <c r="A325" s="122"/>
      <c r="B325" s="125"/>
      <c r="C325" s="125"/>
      <c r="D325" s="16">
        <v>0</v>
      </c>
      <c r="E325" s="123"/>
      <c r="F325" s="124"/>
    </row>
    <row r="326" spans="1:8" hidden="1">
      <c r="A326" s="36" t="s">
        <v>70</v>
      </c>
      <c r="B326" s="37" t="s">
        <v>72</v>
      </c>
      <c r="C326" s="37" t="s">
        <v>16</v>
      </c>
      <c r="D326" s="126" t="s">
        <v>160</v>
      </c>
      <c r="E326" s="126"/>
      <c r="F326" s="127"/>
    </row>
    <row r="327" spans="1:8" hidden="1">
      <c r="A327" s="122" t="s">
        <v>62</v>
      </c>
      <c r="B327" s="16" t="s">
        <v>68</v>
      </c>
      <c r="C327" s="16">
        <v>10</v>
      </c>
      <c r="D327" s="129">
        <f>C327/9</f>
        <v>1.1111111111111112</v>
      </c>
      <c r="E327" s="129"/>
      <c r="F327" s="124"/>
    </row>
    <row r="328" spans="1:8" ht="16.5" hidden="1" thickBot="1">
      <c r="A328" s="128"/>
      <c r="B328" s="20" t="s">
        <v>69</v>
      </c>
      <c r="C328" s="20">
        <v>2</v>
      </c>
      <c r="D328" s="130"/>
      <c r="E328" s="130"/>
      <c r="F328" s="131"/>
    </row>
    <row r="329" spans="1:8" hidden="1">
      <c r="A329" s="14"/>
      <c r="B329" s="14"/>
      <c r="C329" s="14"/>
      <c r="D329" s="103"/>
      <c r="E329" s="103"/>
      <c r="F329" s="103"/>
    </row>
    <row r="330" spans="1:8" hidden="1">
      <c r="A330" s="14" t="s">
        <v>452</v>
      </c>
      <c r="B330" s="14"/>
      <c r="C330" s="14" t="s">
        <v>1618</v>
      </c>
      <c r="D330" s="14"/>
      <c r="E330" s="14"/>
      <c r="F330" s="14"/>
      <c r="G330" s="14"/>
      <c r="H330" s="14"/>
    </row>
    <row r="331" spans="1:8" hidden="1">
      <c r="A331" s="37" t="s">
        <v>58</v>
      </c>
      <c r="B331" s="37" t="s">
        <v>67</v>
      </c>
      <c r="C331" s="37" t="s">
        <v>3</v>
      </c>
      <c r="D331" s="37" t="s">
        <v>57</v>
      </c>
      <c r="E331" s="37" t="s">
        <v>59</v>
      </c>
      <c r="F331" s="37" t="s">
        <v>61</v>
      </c>
      <c r="G331" s="37" t="s">
        <v>60</v>
      </c>
      <c r="H331" s="37" t="s">
        <v>66</v>
      </c>
    </row>
    <row r="332" spans="1:8" ht="78.75" hidden="1">
      <c r="A332" s="102">
        <v>45931</v>
      </c>
      <c r="B332" s="16" t="s">
        <v>76</v>
      </c>
      <c r="C332" s="16" t="s">
        <v>1323</v>
      </c>
      <c r="D332" s="16" t="s">
        <v>1433</v>
      </c>
      <c r="E332" s="16" t="s">
        <v>40</v>
      </c>
      <c r="F332" s="16" t="s">
        <v>77</v>
      </c>
      <c r="G332" s="17" t="s">
        <v>1619</v>
      </c>
      <c r="H332" s="16"/>
    </row>
    <row r="333" spans="1:8" ht="189" hidden="1">
      <c r="A333" s="102">
        <v>45931</v>
      </c>
      <c r="B333" s="16"/>
      <c r="C333" s="16" t="s">
        <v>532</v>
      </c>
      <c r="D333" s="16" t="s">
        <v>539</v>
      </c>
      <c r="E333" s="16" t="s">
        <v>40</v>
      </c>
      <c r="F333" s="16" t="s">
        <v>71</v>
      </c>
      <c r="G333" s="17" t="s">
        <v>1620</v>
      </c>
      <c r="H333" s="16"/>
    </row>
    <row r="334" spans="1:8" ht="78.75" hidden="1">
      <c r="A334" s="102">
        <v>45931</v>
      </c>
      <c r="B334" s="16"/>
      <c r="C334" s="16" t="s">
        <v>1442</v>
      </c>
      <c r="D334" s="16" t="s">
        <v>1621</v>
      </c>
      <c r="E334" s="16" t="s">
        <v>40</v>
      </c>
      <c r="F334" s="16" t="s">
        <v>77</v>
      </c>
      <c r="G334" s="17" t="s">
        <v>1622</v>
      </c>
      <c r="H334" s="16"/>
    </row>
    <row r="335" spans="1:8" ht="63" hidden="1">
      <c r="A335" s="102">
        <v>45931</v>
      </c>
      <c r="B335" s="16"/>
      <c r="C335" s="16" t="s">
        <v>1623</v>
      </c>
      <c r="D335" s="16" t="s">
        <v>1624</v>
      </c>
      <c r="E335" s="16" t="s">
        <v>40</v>
      </c>
      <c r="F335" s="16" t="s">
        <v>77</v>
      </c>
      <c r="G335" s="17" t="s">
        <v>1625</v>
      </c>
      <c r="H335" s="16"/>
    </row>
    <row r="336" spans="1:8" ht="204.75" hidden="1">
      <c r="A336" s="102">
        <v>45931</v>
      </c>
      <c r="B336" s="16"/>
      <c r="C336" s="16" t="s">
        <v>533</v>
      </c>
      <c r="D336" s="16" t="s">
        <v>1626</v>
      </c>
      <c r="E336" s="16" t="s">
        <v>40</v>
      </c>
      <c r="F336" s="16" t="s">
        <v>71</v>
      </c>
      <c r="G336" s="17" t="s">
        <v>1627</v>
      </c>
      <c r="H336" s="16"/>
    </row>
    <row r="337" spans="1:8" ht="110.25" hidden="1">
      <c r="A337" s="102">
        <v>45932</v>
      </c>
      <c r="B337" s="16"/>
      <c r="C337" s="16" t="s">
        <v>1314</v>
      </c>
      <c r="D337" s="16" t="s">
        <v>1315</v>
      </c>
      <c r="E337" s="16" t="s">
        <v>40</v>
      </c>
      <c r="F337" s="16" t="s">
        <v>71</v>
      </c>
      <c r="G337" s="17" t="s">
        <v>1628</v>
      </c>
      <c r="H337" s="16"/>
    </row>
    <row r="338" spans="1:8" ht="157.5" hidden="1">
      <c r="A338" s="102">
        <v>45932</v>
      </c>
      <c r="B338" s="16"/>
      <c r="C338" s="16" t="s">
        <v>1446</v>
      </c>
      <c r="D338" s="16" t="s">
        <v>1629</v>
      </c>
      <c r="E338" s="16" t="s">
        <v>40</v>
      </c>
      <c r="F338" s="16" t="s">
        <v>71</v>
      </c>
      <c r="G338" s="17" t="s">
        <v>1630</v>
      </c>
      <c r="H338" s="16"/>
    </row>
    <row r="339" spans="1:8" hidden="1">
      <c r="A339" s="102">
        <v>45932</v>
      </c>
      <c r="B339" s="16"/>
      <c r="C339" s="16" t="s">
        <v>1376</v>
      </c>
      <c r="D339" s="16" t="s">
        <v>1631</v>
      </c>
      <c r="E339" s="16" t="s">
        <v>40</v>
      </c>
      <c r="F339" s="16"/>
      <c r="G339" s="17" t="s">
        <v>1632</v>
      </c>
      <c r="H339" s="16"/>
    </row>
    <row r="340" spans="1:8" ht="78.75" hidden="1">
      <c r="A340" s="102">
        <v>45932</v>
      </c>
      <c r="B340" s="16"/>
      <c r="C340" s="16" t="s">
        <v>1379</v>
      </c>
      <c r="D340" s="16" t="s">
        <v>1633</v>
      </c>
      <c r="E340" s="16" t="s">
        <v>40</v>
      </c>
      <c r="F340" s="16"/>
      <c r="G340" s="17" t="s">
        <v>1634</v>
      </c>
      <c r="H340" s="16"/>
    </row>
    <row r="341" spans="1:8" ht="94.5" hidden="1">
      <c r="A341" s="102">
        <v>45932</v>
      </c>
      <c r="B341" s="16"/>
      <c r="C341" s="16" t="s">
        <v>407</v>
      </c>
      <c r="D341" s="16" t="s">
        <v>423</v>
      </c>
      <c r="E341" s="16" t="s">
        <v>40</v>
      </c>
      <c r="F341" s="16"/>
      <c r="G341" s="17" t="s">
        <v>1635</v>
      </c>
      <c r="H341" s="16"/>
    </row>
    <row r="342" spans="1:8" ht="94.5" hidden="1">
      <c r="A342" s="102">
        <v>45933</v>
      </c>
      <c r="B342" s="16"/>
      <c r="C342" s="16" t="s">
        <v>408</v>
      </c>
      <c r="D342" s="16" t="s">
        <v>1636</v>
      </c>
      <c r="E342" s="16" t="s">
        <v>40</v>
      </c>
      <c r="F342" s="16"/>
      <c r="G342" s="17" t="s">
        <v>1637</v>
      </c>
      <c r="H342" s="16"/>
    </row>
    <row r="343" spans="1:8" ht="78.75" hidden="1">
      <c r="A343" s="102">
        <v>45933</v>
      </c>
      <c r="B343" s="16"/>
      <c r="C343" s="16" t="s">
        <v>408</v>
      </c>
      <c r="D343" s="16" t="s">
        <v>1264</v>
      </c>
      <c r="E343" s="16" t="s">
        <v>40</v>
      </c>
      <c r="F343" s="16"/>
      <c r="G343" s="17" t="s">
        <v>1638</v>
      </c>
      <c r="H343" s="16"/>
    </row>
    <row r="344" spans="1:8" ht="63" hidden="1">
      <c r="A344" s="102">
        <v>45933</v>
      </c>
      <c r="B344" s="16"/>
      <c r="C344" s="16" t="s">
        <v>1639</v>
      </c>
      <c r="D344" s="16" t="s">
        <v>1640</v>
      </c>
      <c r="E344" s="16" t="s">
        <v>40</v>
      </c>
      <c r="F344" s="16"/>
      <c r="G344" s="17" t="s">
        <v>1641</v>
      </c>
      <c r="H344" s="16"/>
    </row>
    <row r="345" spans="1:8" ht="63" hidden="1">
      <c r="A345" s="102">
        <v>45933</v>
      </c>
      <c r="B345" s="16"/>
      <c r="C345" s="16" t="s">
        <v>1414</v>
      </c>
      <c r="D345" s="16" t="s">
        <v>1415</v>
      </c>
      <c r="E345" s="16" t="s">
        <v>40</v>
      </c>
      <c r="F345" s="16"/>
      <c r="G345" s="17" t="s">
        <v>1642</v>
      </c>
      <c r="H345" s="16"/>
    </row>
    <row r="346" spans="1:8" hidden="1"/>
    <row r="347" spans="1:8" hidden="1">
      <c r="A347" s="3" t="s">
        <v>70</v>
      </c>
      <c r="B347" s="4" t="s">
        <v>72</v>
      </c>
      <c r="C347" s="4" t="s">
        <v>16</v>
      </c>
      <c r="D347" s="34" t="s">
        <v>155</v>
      </c>
      <c r="E347" s="9" t="s">
        <v>156</v>
      </c>
      <c r="F347" s="10" t="s">
        <v>157</v>
      </c>
    </row>
    <row r="348" spans="1:8" hidden="1">
      <c r="A348" s="132" t="s">
        <v>63</v>
      </c>
      <c r="B348" s="99" t="s">
        <v>68</v>
      </c>
      <c r="C348" s="99">
        <v>3</v>
      </c>
      <c r="D348" s="99">
        <f>C348</f>
        <v>3</v>
      </c>
      <c r="E348" s="133">
        <f>D348+D350+D352</f>
        <v>3.3333333333333335</v>
      </c>
      <c r="F348" s="134">
        <f>E348/12</f>
        <v>0.27777777777777779</v>
      </c>
    </row>
    <row r="349" spans="1:8" hidden="1">
      <c r="A349" s="122"/>
      <c r="B349" s="125" t="s">
        <v>65</v>
      </c>
      <c r="C349" s="125">
        <v>1</v>
      </c>
      <c r="D349" s="35" t="s">
        <v>158</v>
      </c>
      <c r="E349" s="123"/>
      <c r="F349" s="124"/>
    </row>
    <row r="350" spans="1:8" hidden="1">
      <c r="A350" s="122"/>
      <c r="B350" s="125"/>
      <c r="C350" s="125"/>
      <c r="D350" s="16">
        <f>C349/3</f>
        <v>0.33333333333333331</v>
      </c>
      <c r="E350" s="123"/>
      <c r="F350" s="124"/>
    </row>
    <row r="351" spans="1:8" hidden="1">
      <c r="A351" s="122"/>
      <c r="B351" s="125" t="s">
        <v>69</v>
      </c>
      <c r="C351" s="125">
        <v>10</v>
      </c>
      <c r="D351" s="35" t="s">
        <v>159</v>
      </c>
      <c r="E351" s="123"/>
      <c r="F351" s="124"/>
    </row>
    <row r="352" spans="1:8" hidden="1">
      <c r="A352" s="122"/>
      <c r="B352" s="125"/>
      <c r="C352" s="125"/>
      <c r="D352" s="16">
        <v>0</v>
      </c>
      <c r="E352" s="123"/>
      <c r="F352" s="124"/>
    </row>
    <row r="353" spans="1:8" hidden="1">
      <c r="A353" s="36" t="s">
        <v>70</v>
      </c>
      <c r="B353" s="37" t="s">
        <v>72</v>
      </c>
      <c r="C353" s="37" t="s">
        <v>16</v>
      </c>
      <c r="D353" s="126" t="s">
        <v>160</v>
      </c>
      <c r="E353" s="126"/>
      <c r="F353" s="127"/>
    </row>
    <row r="354" spans="1:8" hidden="1">
      <c r="A354" s="122" t="s">
        <v>62</v>
      </c>
      <c r="B354" s="16" t="s">
        <v>68</v>
      </c>
      <c r="C354" s="16">
        <v>10</v>
      </c>
      <c r="D354" s="129">
        <f>C354/9</f>
        <v>1.1111111111111112</v>
      </c>
      <c r="E354" s="129"/>
      <c r="F354" s="124"/>
    </row>
    <row r="355" spans="1:8" ht="16.5" hidden="1" thickBot="1">
      <c r="A355" s="128"/>
      <c r="B355" s="20" t="s">
        <v>69</v>
      </c>
      <c r="C355" s="20">
        <v>2</v>
      </c>
      <c r="D355" s="130"/>
      <c r="E355" s="130"/>
      <c r="F355" s="131"/>
    </row>
    <row r="356" spans="1:8" hidden="1"/>
    <row r="357" spans="1:8" hidden="1">
      <c r="A357" s="14" t="s">
        <v>1643</v>
      </c>
      <c r="B357" s="14"/>
      <c r="C357" s="14"/>
      <c r="D357" s="14"/>
      <c r="E357" s="14"/>
      <c r="F357" s="14"/>
      <c r="G357" s="14"/>
      <c r="H357" s="14"/>
    </row>
    <row r="358" spans="1:8" hidden="1">
      <c r="A358" s="37" t="s">
        <v>58</v>
      </c>
      <c r="B358" s="37" t="s">
        <v>67</v>
      </c>
      <c r="C358" s="37" t="s">
        <v>3</v>
      </c>
      <c r="D358" s="37" t="s">
        <v>57</v>
      </c>
      <c r="E358" s="37" t="s">
        <v>59</v>
      </c>
      <c r="F358" s="37" t="s">
        <v>61</v>
      </c>
      <c r="G358" s="37" t="s">
        <v>60</v>
      </c>
      <c r="H358" s="37" t="s">
        <v>66</v>
      </c>
    </row>
    <row r="359" spans="1:8" ht="31.5" hidden="1">
      <c r="A359" s="102">
        <v>45937</v>
      </c>
      <c r="B359" s="16" t="s">
        <v>76</v>
      </c>
      <c r="C359" s="16" t="s">
        <v>1233</v>
      </c>
      <c r="D359" s="16" t="s">
        <v>1520</v>
      </c>
      <c r="E359" s="16" t="s">
        <v>40</v>
      </c>
      <c r="F359" s="16" t="s">
        <v>71</v>
      </c>
      <c r="G359" s="17" t="s">
        <v>1644</v>
      </c>
      <c r="H359" s="16"/>
    </row>
    <row r="360" spans="1:8" ht="94.5" hidden="1">
      <c r="A360" s="102">
        <v>45937</v>
      </c>
      <c r="B360" s="16" t="s">
        <v>76</v>
      </c>
      <c r="C360" s="16" t="s">
        <v>1202</v>
      </c>
      <c r="D360" s="16" t="s">
        <v>1411</v>
      </c>
      <c r="E360" s="16" t="s">
        <v>40</v>
      </c>
      <c r="F360" s="16" t="s">
        <v>71</v>
      </c>
      <c r="G360" s="17" t="s">
        <v>1645</v>
      </c>
      <c r="H360" s="16"/>
    </row>
    <row r="361" spans="1:8" ht="31.5" hidden="1">
      <c r="A361" s="102">
        <v>45938</v>
      </c>
      <c r="B361" s="16" t="s">
        <v>197</v>
      </c>
      <c r="C361" s="16" t="s">
        <v>1646</v>
      </c>
      <c r="D361" s="16" t="s">
        <v>1605</v>
      </c>
      <c r="E361" s="16" t="s">
        <v>41</v>
      </c>
      <c r="F361" s="16" t="s">
        <v>71</v>
      </c>
      <c r="G361" s="17" t="s">
        <v>1647</v>
      </c>
      <c r="H361" s="16"/>
    </row>
    <row r="362" spans="1:8" hidden="1">
      <c r="A362" s="102">
        <v>45938</v>
      </c>
      <c r="B362" s="16" t="s">
        <v>75</v>
      </c>
      <c r="C362" s="16" t="s">
        <v>1623</v>
      </c>
      <c r="D362" s="16" t="s">
        <v>1648</v>
      </c>
      <c r="E362" s="16" t="s">
        <v>41</v>
      </c>
      <c r="F362" s="16" t="s">
        <v>77</v>
      </c>
      <c r="G362" s="17" t="s">
        <v>129</v>
      </c>
      <c r="H362" s="16"/>
    </row>
    <row r="363" spans="1:8" hidden="1">
      <c r="A363" s="102">
        <v>45938</v>
      </c>
      <c r="B363" s="16" t="s">
        <v>75</v>
      </c>
      <c r="C363" s="16" t="s">
        <v>1505</v>
      </c>
      <c r="D363" s="16" t="s">
        <v>1506</v>
      </c>
      <c r="E363" s="16" t="s">
        <v>41</v>
      </c>
      <c r="F363" s="16" t="s">
        <v>77</v>
      </c>
      <c r="G363" s="17" t="s">
        <v>129</v>
      </c>
      <c r="H363" s="16"/>
    </row>
    <row r="364" spans="1:8" ht="47.25" hidden="1">
      <c r="A364" s="102">
        <v>45938</v>
      </c>
      <c r="B364" s="16" t="s">
        <v>197</v>
      </c>
      <c r="C364" s="16" t="s">
        <v>1261</v>
      </c>
      <c r="D364" s="16" t="s">
        <v>1649</v>
      </c>
      <c r="E364" s="16" t="s">
        <v>41</v>
      </c>
      <c r="F364" s="16" t="s">
        <v>77</v>
      </c>
      <c r="G364" s="17" t="s">
        <v>1650</v>
      </c>
      <c r="H364" s="16"/>
    </row>
    <row r="365" spans="1:8" hidden="1">
      <c r="A365" s="102">
        <v>45938</v>
      </c>
      <c r="B365" s="16" t="s">
        <v>197</v>
      </c>
      <c r="C365" s="16" t="s">
        <v>1261</v>
      </c>
      <c r="D365" s="16" t="s">
        <v>967</v>
      </c>
      <c r="E365" s="16" t="s">
        <v>41</v>
      </c>
      <c r="F365" s="16" t="s">
        <v>77</v>
      </c>
      <c r="G365" s="17" t="s">
        <v>129</v>
      </c>
      <c r="H365" s="16"/>
    </row>
    <row r="366" spans="1:8" hidden="1">
      <c r="A366" s="102">
        <v>45938</v>
      </c>
      <c r="B366" s="16" t="s">
        <v>197</v>
      </c>
      <c r="C366" s="16" t="s">
        <v>1261</v>
      </c>
      <c r="D366" s="16" t="s">
        <v>1493</v>
      </c>
      <c r="E366" s="16" t="s">
        <v>41</v>
      </c>
      <c r="F366" s="16" t="s">
        <v>77</v>
      </c>
      <c r="G366" s="17" t="s">
        <v>129</v>
      </c>
      <c r="H366" s="16"/>
    </row>
    <row r="367" spans="1:8" ht="47.25" hidden="1">
      <c r="A367" s="102">
        <v>45938</v>
      </c>
      <c r="B367" s="16" t="s">
        <v>75</v>
      </c>
      <c r="C367" s="16" t="s">
        <v>1294</v>
      </c>
      <c r="D367" s="16" t="s">
        <v>1295</v>
      </c>
      <c r="E367" s="16" t="s">
        <v>41</v>
      </c>
      <c r="F367" s="16" t="s">
        <v>77</v>
      </c>
      <c r="G367" s="17" t="s">
        <v>1651</v>
      </c>
      <c r="H367" s="16"/>
    </row>
    <row r="368" spans="1:8" ht="63" hidden="1">
      <c r="A368" s="102">
        <v>45938</v>
      </c>
      <c r="B368" s="16" t="s">
        <v>75</v>
      </c>
      <c r="C368" s="16" t="s">
        <v>1360</v>
      </c>
      <c r="D368" s="16" t="s">
        <v>1361</v>
      </c>
      <c r="E368" s="16" t="s">
        <v>41</v>
      </c>
      <c r="F368" s="16" t="s">
        <v>64</v>
      </c>
      <c r="G368" s="17" t="s">
        <v>1652</v>
      </c>
      <c r="H368" s="16"/>
    </row>
    <row r="369" spans="1:8" hidden="1">
      <c r="A369" s="102">
        <v>45938</v>
      </c>
      <c r="B369" s="16" t="s">
        <v>91</v>
      </c>
      <c r="C369" s="16" t="s">
        <v>1404</v>
      </c>
      <c r="D369" s="16" t="s">
        <v>1608</v>
      </c>
      <c r="E369" s="16" t="s">
        <v>41</v>
      </c>
      <c r="F369" s="16" t="s">
        <v>77</v>
      </c>
      <c r="G369" s="17" t="s">
        <v>1545</v>
      </c>
      <c r="H369" s="16"/>
    </row>
    <row r="370" spans="1:8" hidden="1">
      <c r="A370" s="102">
        <v>45939</v>
      </c>
      <c r="B370" s="16" t="s">
        <v>75</v>
      </c>
      <c r="C370" s="16" t="s">
        <v>1653</v>
      </c>
      <c r="D370" s="16" t="s">
        <v>1654</v>
      </c>
      <c r="E370" s="16" t="s">
        <v>41</v>
      </c>
      <c r="F370" s="16" t="s">
        <v>77</v>
      </c>
      <c r="G370" s="17" t="s">
        <v>1655</v>
      </c>
      <c r="H370" s="16"/>
    </row>
    <row r="371" spans="1:8" hidden="1">
      <c r="A371" s="102">
        <v>45939</v>
      </c>
      <c r="B371" s="16" t="s">
        <v>76</v>
      </c>
      <c r="C371" s="16" t="s">
        <v>1338</v>
      </c>
      <c r="D371" s="16" t="s">
        <v>1389</v>
      </c>
      <c r="E371" s="16" t="s">
        <v>41</v>
      </c>
      <c r="F371" s="16" t="s">
        <v>71</v>
      </c>
      <c r="G371" s="17" t="s">
        <v>1656</v>
      </c>
      <c r="H371" s="16"/>
    </row>
    <row r="372" spans="1:8" ht="110.25" hidden="1">
      <c r="A372" s="102">
        <v>45939</v>
      </c>
      <c r="B372" s="16" t="s">
        <v>75</v>
      </c>
      <c r="C372" s="16" t="s">
        <v>1244</v>
      </c>
      <c r="D372" s="16" t="s">
        <v>1245</v>
      </c>
      <c r="E372" s="16" t="s">
        <v>41</v>
      </c>
      <c r="F372" s="16" t="s">
        <v>71</v>
      </c>
      <c r="G372" s="17" t="s">
        <v>1657</v>
      </c>
      <c r="H372" s="16"/>
    </row>
    <row r="373" spans="1:8" hidden="1">
      <c r="A373" s="102">
        <v>45939</v>
      </c>
      <c r="B373" s="16" t="s">
        <v>76</v>
      </c>
      <c r="C373" s="16" t="s">
        <v>1379</v>
      </c>
      <c r="D373" s="16" t="s">
        <v>1658</v>
      </c>
      <c r="E373" s="16" t="s">
        <v>41</v>
      </c>
      <c r="F373" s="16" t="s">
        <v>71</v>
      </c>
      <c r="G373" s="17" t="s">
        <v>1659</v>
      </c>
      <c r="H373" s="16"/>
    </row>
    <row r="374" spans="1:8" hidden="1">
      <c r="A374" s="102">
        <v>45939</v>
      </c>
      <c r="B374" s="16" t="s">
        <v>75</v>
      </c>
      <c r="C374" s="16" t="s">
        <v>1507</v>
      </c>
      <c r="D374" s="16" t="s">
        <v>1660</v>
      </c>
      <c r="E374" s="16" t="s">
        <v>41</v>
      </c>
      <c r="F374" s="16" t="s">
        <v>77</v>
      </c>
      <c r="G374" s="17" t="s">
        <v>129</v>
      </c>
      <c r="H374" s="16"/>
    </row>
    <row r="375" spans="1:8" ht="63" hidden="1">
      <c r="A375" s="102">
        <v>45939</v>
      </c>
      <c r="B375" s="16" t="s">
        <v>75</v>
      </c>
      <c r="C375" s="16" t="s">
        <v>1661</v>
      </c>
      <c r="D375" s="16" t="s">
        <v>1662</v>
      </c>
      <c r="E375" s="16" t="s">
        <v>41</v>
      </c>
      <c r="F375" s="16" t="s">
        <v>77</v>
      </c>
      <c r="G375" s="17" t="s">
        <v>1663</v>
      </c>
      <c r="H375" s="16"/>
    </row>
    <row r="376" spans="1:8" ht="63" hidden="1">
      <c r="A376" s="102">
        <v>45939</v>
      </c>
      <c r="B376" s="16" t="s">
        <v>75</v>
      </c>
      <c r="C376" s="16" t="s">
        <v>1247</v>
      </c>
      <c r="D376" s="16" t="s">
        <v>1248</v>
      </c>
      <c r="E376" s="16" t="s">
        <v>41</v>
      </c>
      <c r="F376" s="16" t="s">
        <v>64</v>
      </c>
      <c r="G376" s="17" t="s">
        <v>1664</v>
      </c>
      <c r="H376" s="16"/>
    </row>
    <row r="377" spans="1:8" ht="31.5" hidden="1">
      <c r="A377" s="102">
        <v>45939</v>
      </c>
      <c r="B377" s="16" t="s">
        <v>91</v>
      </c>
      <c r="C377" s="16" t="s">
        <v>1665</v>
      </c>
      <c r="D377" s="16" t="s">
        <v>206</v>
      </c>
      <c r="E377" s="16" t="s">
        <v>41</v>
      </c>
      <c r="F377" s="16" t="s">
        <v>77</v>
      </c>
      <c r="G377" s="17" t="s">
        <v>1666</v>
      </c>
      <c r="H377" s="16"/>
    </row>
    <row r="378" spans="1:8" ht="47.25" hidden="1">
      <c r="A378" s="102">
        <v>45939</v>
      </c>
      <c r="B378" s="16" t="s">
        <v>91</v>
      </c>
      <c r="C378" s="16" t="s">
        <v>1404</v>
      </c>
      <c r="D378" s="16" t="s">
        <v>1608</v>
      </c>
      <c r="E378" s="16" t="s">
        <v>41</v>
      </c>
      <c r="F378" s="16" t="s">
        <v>64</v>
      </c>
      <c r="G378" s="17" t="s">
        <v>1667</v>
      </c>
      <c r="H378" s="16"/>
    </row>
    <row r="379" spans="1:8" hidden="1">
      <c r="A379" s="102">
        <v>45939</v>
      </c>
      <c r="B379" s="16" t="s">
        <v>91</v>
      </c>
      <c r="C379" s="16" t="s">
        <v>1572</v>
      </c>
      <c r="D379" s="16" t="s">
        <v>1668</v>
      </c>
      <c r="E379" s="16" t="s">
        <v>41</v>
      </c>
      <c r="F379" s="16" t="s">
        <v>77</v>
      </c>
      <c r="G379" s="17" t="s">
        <v>1669</v>
      </c>
      <c r="H379" s="16"/>
    </row>
    <row r="380" spans="1:8" ht="94.5" hidden="1">
      <c r="A380" s="102">
        <v>45939</v>
      </c>
      <c r="B380" s="16" t="s">
        <v>75</v>
      </c>
      <c r="C380" s="16" t="s">
        <v>1670</v>
      </c>
      <c r="D380" s="16" t="s">
        <v>1671</v>
      </c>
      <c r="E380" s="16" t="s">
        <v>41</v>
      </c>
      <c r="F380" s="16" t="s">
        <v>77</v>
      </c>
      <c r="G380" s="17" t="s">
        <v>1672</v>
      </c>
      <c r="H380" s="16"/>
    </row>
    <row r="381" spans="1:8" ht="31.5" hidden="1">
      <c r="A381" s="102">
        <v>45939</v>
      </c>
      <c r="B381" s="16" t="s">
        <v>91</v>
      </c>
      <c r="C381" s="16" t="s">
        <v>1598</v>
      </c>
      <c r="D381" s="16" t="s">
        <v>206</v>
      </c>
      <c r="E381" s="16" t="s">
        <v>41</v>
      </c>
      <c r="F381" s="16" t="s">
        <v>77</v>
      </c>
      <c r="G381" s="17" t="s">
        <v>1673</v>
      </c>
      <c r="H381" s="16"/>
    </row>
    <row r="382" spans="1:8" hidden="1">
      <c r="A382" s="102">
        <v>45939</v>
      </c>
      <c r="B382" s="16" t="s">
        <v>91</v>
      </c>
      <c r="C382" s="16" t="s">
        <v>1593</v>
      </c>
      <c r="D382" s="16" t="s">
        <v>1055</v>
      </c>
      <c r="E382" s="16" t="s">
        <v>41</v>
      </c>
      <c r="F382" s="16" t="s">
        <v>77</v>
      </c>
      <c r="G382" s="17" t="s">
        <v>1385</v>
      </c>
      <c r="H382" s="16"/>
    </row>
    <row r="383" spans="1:8" ht="141.75" hidden="1">
      <c r="A383" s="102">
        <v>45939</v>
      </c>
      <c r="B383" s="16" t="s">
        <v>75</v>
      </c>
      <c r="C383" s="16" t="s">
        <v>1623</v>
      </c>
      <c r="D383" s="16" t="s">
        <v>1674</v>
      </c>
      <c r="E383" s="16" t="s">
        <v>41</v>
      </c>
      <c r="F383" s="16" t="s">
        <v>71</v>
      </c>
      <c r="G383" s="17" t="s">
        <v>1675</v>
      </c>
      <c r="H383" s="16"/>
    </row>
    <row r="384" spans="1:8" hidden="1"/>
    <row r="385" spans="1:8" hidden="1">
      <c r="A385" s="3" t="s">
        <v>70</v>
      </c>
      <c r="B385" s="4" t="s">
        <v>72</v>
      </c>
      <c r="C385" s="4" t="s">
        <v>16</v>
      </c>
      <c r="D385" s="34" t="s">
        <v>155</v>
      </c>
      <c r="E385" s="9" t="s">
        <v>156</v>
      </c>
      <c r="F385" s="10" t="s">
        <v>157</v>
      </c>
    </row>
    <row r="386" spans="1:8" hidden="1">
      <c r="A386" s="132" t="s">
        <v>63</v>
      </c>
      <c r="B386" s="99" t="s">
        <v>68</v>
      </c>
      <c r="C386" s="99">
        <v>5</v>
      </c>
      <c r="D386" s="99">
        <f>C386</f>
        <v>5</v>
      </c>
      <c r="E386" s="133">
        <f>D386+D388+D390</f>
        <v>6</v>
      </c>
      <c r="F386" s="134">
        <f>E386/12</f>
        <v>0.5</v>
      </c>
    </row>
    <row r="387" spans="1:8" hidden="1">
      <c r="A387" s="122"/>
      <c r="B387" s="125" t="s">
        <v>65</v>
      </c>
      <c r="C387" s="125">
        <v>3</v>
      </c>
      <c r="D387" s="35" t="s">
        <v>158</v>
      </c>
      <c r="E387" s="123"/>
      <c r="F387" s="124"/>
    </row>
    <row r="388" spans="1:8" hidden="1">
      <c r="A388" s="122"/>
      <c r="B388" s="125"/>
      <c r="C388" s="125"/>
      <c r="D388" s="16">
        <f>C387/3</f>
        <v>1</v>
      </c>
      <c r="E388" s="123"/>
      <c r="F388" s="124"/>
    </row>
    <row r="389" spans="1:8" hidden="1">
      <c r="A389" s="122"/>
      <c r="B389" s="125" t="s">
        <v>69</v>
      </c>
      <c r="C389" s="125">
        <v>15</v>
      </c>
      <c r="D389" s="35" t="s">
        <v>159</v>
      </c>
      <c r="E389" s="123"/>
      <c r="F389" s="124"/>
    </row>
    <row r="390" spans="1:8" hidden="1">
      <c r="A390" s="122"/>
      <c r="B390" s="125"/>
      <c r="C390" s="125"/>
      <c r="D390" s="16">
        <v>0</v>
      </c>
      <c r="E390" s="123"/>
      <c r="F390" s="124"/>
    </row>
    <row r="391" spans="1:8" hidden="1">
      <c r="A391" s="36" t="s">
        <v>70</v>
      </c>
      <c r="B391" s="37" t="s">
        <v>72</v>
      </c>
      <c r="C391" s="37" t="s">
        <v>16</v>
      </c>
      <c r="D391" s="126" t="s">
        <v>160</v>
      </c>
      <c r="E391" s="126"/>
      <c r="F391" s="127"/>
    </row>
    <row r="392" spans="1:8" hidden="1">
      <c r="A392" s="122" t="s">
        <v>62</v>
      </c>
      <c r="B392" s="16" t="s">
        <v>68</v>
      </c>
      <c r="C392" s="16">
        <v>2</v>
      </c>
      <c r="D392" s="129">
        <f>C392/9</f>
        <v>0.22222222222222221</v>
      </c>
      <c r="E392" s="129"/>
      <c r="F392" s="124"/>
    </row>
    <row r="393" spans="1:8" ht="16.5" hidden="1" thickBot="1">
      <c r="A393" s="128"/>
      <c r="B393" s="20" t="s">
        <v>69</v>
      </c>
      <c r="C393" s="20">
        <v>0</v>
      </c>
      <c r="D393" s="130"/>
      <c r="E393" s="130"/>
      <c r="F393" s="131"/>
    </row>
    <row r="394" spans="1:8" hidden="1"/>
    <row r="395" spans="1:8" hidden="1">
      <c r="A395" s="14" t="s">
        <v>558</v>
      </c>
      <c r="B395" s="14"/>
      <c r="C395" s="14"/>
      <c r="D395" s="14"/>
      <c r="E395" s="14"/>
      <c r="F395" s="14"/>
      <c r="G395" s="14"/>
      <c r="H395" s="14"/>
    </row>
    <row r="396" spans="1:8" hidden="1">
      <c r="A396" s="37" t="s">
        <v>58</v>
      </c>
      <c r="B396" s="37" t="s">
        <v>67</v>
      </c>
      <c r="C396" s="37" t="s">
        <v>3</v>
      </c>
      <c r="D396" s="37" t="s">
        <v>57</v>
      </c>
      <c r="E396" s="37" t="s">
        <v>59</v>
      </c>
      <c r="F396" s="37" t="s">
        <v>61</v>
      </c>
      <c r="G396" s="37" t="s">
        <v>60</v>
      </c>
      <c r="H396" s="37" t="s">
        <v>66</v>
      </c>
    </row>
    <row r="397" spans="1:8" hidden="1">
      <c r="A397" s="102">
        <v>45943</v>
      </c>
      <c r="B397" s="16" t="s">
        <v>197</v>
      </c>
      <c r="C397" s="16" t="s">
        <v>881</v>
      </c>
      <c r="D397" s="16" t="s">
        <v>1668</v>
      </c>
      <c r="E397" s="16" t="s">
        <v>41</v>
      </c>
      <c r="F397" s="16" t="s">
        <v>71</v>
      </c>
      <c r="G397" s="17" t="s">
        <v>1676</v>
      </c>
      <c r="H397" s="16"/>
    </row>
    <row r="398" spans="1:8" hidden="1">
      <c r="A398" s="102">
        <v>45943</v>
      </c>
      <c r="B398" s="16" t="s">
        <v>197</v>
      </c>
      <c r="C398" s="16" t="s">
        <v>1233</v>
      </c>
      <c r="D398" s="16" t="s">
        <v>1448</v>
      </c>
      <c r="E398" s="16" t="s">
        <v>41</v>
      </c>
      <c r="F398" s="16" t="s">
        <v>77</v>
      </c>
      <c r="G398" s="17" t="s">
        <v>1677</v>
      </c>
      <c r="H398" s="16"/>
    </row>
    <row r="399" spans="1:8" ht="78.75" hidden="1">
      <c r="A399" s="102">
        <v>45943</v>
      </c>
      <c r="B399" s="16" t="s">
        <v>75</v>
      </c>
      <c r="C399" s="16" t="s">
        <v>1233</v>
      </c>
      <c r="D399" s="16" t="s">
        <v>1242</v>
      </c>
      <c r="E399" s="16" t="s">
        <v>41</v>
      </c>
      <c r="F399" s="16" t="s">
        <v>71</v>
      </c>
      <c r="G399" s="17" t="s">
        <v>1678</v>
      </c>
      <c r="H399" s="16"/>
    </row>
    <row r="400" spans="1:8" hidden="1">
      <c r="A400" s="102">
        <v>45943</v>
      </c>
      <c r="B400" s="16" t="s">
        <v>197</v>
      </c>
      <c r="C400" s="16" t="s">
        <v>1261</v>
      </c>
      <c r="D400" s="16" t="s">
        <v>1679</v>
      </c>
      <c r="E400" s="16" t="s">
        <v>41</v>
      </c>
      <c r="F400" s="16" t="s">
        <v>77</v>
      </c>
      <c r="G400" s="17" t="s">
        <v>1680</v>
      </c>
      <c r="H400" s="16"/>
    </row>
    <row r="401" spans="1:8" hidden="1">
      <c r="A401" s="102">
        <v>45943</v>
      </c>
      <c r="B401" s="16" t="s">
        <v>75</v>
      </c>
      <c r="C401" s="16" t="s">
        <v>1425</v>
      </c>
      <c r="D401" s="16" t="s">
        <v>1681</v>
      </c>
      <c r="E401" s="16" t="s">
        <v>41</v>
      </c>
      <c r="F401" s="17" t="s">
        <v>77</v>
      </c>
      <c r="G401" s="43" t="s">
        <v>1682</v>
      </c>
      <c r="H401" s="16"/>
    </row>
    <row r="402" spans="1:8" ht="47.25" hidden="1">
      <c r="A402" s="102">
        <v>45944</v>
      </c>
      <c r="B402" s="16" t="s">
        <v>75</v>
      </c>
      <c r="C402" s="16" t="s">
        <v>1247</v>
      </c>
      <c r="D402" s="16" t="s">
        <v>1683</v>
      </c>
      <c r="E402" s="16" t="s">
        <v>41</v>
      </c>
      <c r="F402" s="16" t="s">
        <v>77</v>
      </c>
      <c r="G402" s="17" t="s">
        <v>1684</v>
      </c>
      <c r="H402" s="16"/>
    </row>
    <row r="403" spans="1:8" hidden="1">
      <c r="A403" s="102">
        <v>45944</v>
      </c>
      <c r="B403" s="16" t="s">
        <v>75</v>
      </c>
      <c r="C403" s="16" t="s">
        <v>1247</v>
      </c>
      <c r="D403" s="16" t="s">
        <v>1685</v>
      </c>
      <c r="E403" s="16" t="s">
        <v>41</v>
      </c>
      <c r="F403" s="16" t="s">
        <v>77</v>
      </c>
      <c r="G403" s="17" t="s">
        <v>129</v>
      </c>
      <c r="H403" s="16"/>
    </row>
    <row r="404" spans="1:8" hidden="1">
      <c r="A404" s="102">
        <v>45944</v>
      </c>
      <c r="B404" s="16" t="s">
        <v>75</v>
      </c>
      <c r="C404" s="16" t="s">
        <v>92</v>
      </c>
      <c r="D404" s="16" t="s">
        <v>1686</v>
      </c>
      <c r="E404" s="16" t="s">
        <v>41</v>
      </c>
      <c r="F404" s="16" t="s">
        <v>77</v>
      </c>
      <c r="G404" s="17" t="s">
        <v>129</v>
      </c>
      <c r="H404" s="16"/>
    </row>
    <row r="405" spans="1:8" ht="110.25" hidden="1">
      <c r="A405" s="102">
        <v>45944</v>
      </c>
      <c r="B405" s="16" t="s">
        <v>75</v>
      </c>
      <c r="C405" s="16" t="s">
        <v>1386</v>
      </c>
      <c r="D405" s="16" t="s">
        <v>1687</v>
      </c>
      <c r="E405" s="16" t="s">
        <v>41</v>
      </c>
      <c r="F405" s="16" t="s">
        <v>77</v>
      </c>
      <c r="G405" s="17" t="s">
        <v>1688</v>
      </c>
      <c r="H405" s="16"/>
    </row>
    <row r="406" spans="1:8" ht="78.75" hidden="1">
      <c r="A406" s="102">
        <v>45944</v>
      </c>
      <c r="B406" s="16" t="s">
        <v>75</v>
      </c>
      <c r="C406" s="16" t="s">
        <v>1689</v>
      </c>
      <c r="D406" s="16" t="s">
        <v>1690</v>
      </c>
      <c r="E406" s="16" t="s">
        <v>41</v>
      </c>
      <c r="F406" s="16" t="s">
        <v>77</v>
      </c>
      <c r="G406" s="17" t="s">
        <v>1691</v>
      </c>
      <c r="H406" s="16"/>
    </row>
    <row r="407" spans="1:8" ht="47.25" hidden="1">
      <c r="A407" s="102">
        <v>45944</v>
      </c>
      <c r="B407" s="16" t="s">
        <v>197</v>
      </c>
      <c r="C407" s="16" t="s">
        <v>1288</v>
      </c>
      <c r="D407" s="16" t="s">
        <v>1692</v>
      </c>
      <c r="E407" s="16" t="s">
        <v>41</v>
      </c>
      <c r="F407" s="16" t="s">
        <v>77</v>
      </c>
      <c r="G407" s="17" t="s">
        <v>1693</v>
      </c>
      <c r="H407" s="16"/>
    </row>
    <row r="408" spans="1:8" ht="47.25" hidden="1">
      <c r="A408" s="102">
        <v>45944</v>
      </c>
      <c r="B408" s="16" t="s">
        <v>75</v>
      </c>
      <c r="C408" s="16" t="s">
        <v>1227</v>
      </c>
      <c r="D408" s="16" t="s">
        <v>1275</v>
      </c>
      <c r="E408" s="16" t="s">
        <v>41</v>
      </c>
      <c r="F408" s="16" t="s">
        <v>64</v>
      </c>
      <c r="G408" s="17" t="s">
        <v>1694</v>
      </c>
      <c r="H408" s="16"/>
    </row>
    <row r="409" spans="1:8" ht="47.25" hidden="1">
      <c r="A409" s="102">
        <v>45944</v>
      </c>
      <c r="B409" s="16" t="s">
        <v>75</v>
      </c>
      <c r="C409" s="16" t="s">
        <v>1253</v>
      </c>
      <c r="D409" s="16" t="s">
        <v>1495</v>
      </c>
      <c r="E409" s="16" t="s">
        <v>41</v>
      </c>
      <c r="F409" s="16" t="s">
        <v>77</v>
      </c>
      <c r="G409" s="17" t="s">
        <v>1695</v>
      </c>
      <c r="H409" s="16"/>
    </row>
    <row r="410" spans="1:8" ht="63" hidden="1">
      <c r="A410" s="102">
        <v>45944</v>
      </c>
      <c r="B410" s="16" t="s">
        <v>75</v>
      </c>
      <c r="C410" s="16" t="s">
        <v>1253</v>
      </c>
      <c r="D410" s="16" t="s">
        <v>1696</v>
      </c>
      <c r="E410" s="16" t="s">
        <v>41</v>
      </c>
      <c r="F410" s="16" t="s">
        <v>77</v>
      </c>
      <c r="G410" s="17" t="s">
        <v>1697</v>
      </c>
      <c r="H410" s="16"/>
    </row>
    <row r="411" spans="1:8" ht="78.75" hidden="1">
      <c r="A411" s="102">
        <v>45944</v>
      </c>
      <c r="B411" s="16" t="s">
        <v>75</v>
      </c>
      <c r="C411" s="16" t="s">
        <v>1430</v>
      </c>
      <c r="D411" s="16" t="s">
        <v>1698</v>
      </c>
      <c r="E411" s="16" t="s">
        <v>41</v>
      </c>
      <c r="F411" s="16" t="s">
        <v>64</v>
      </c>
      <c r="G411" s="17" t="s">
        <v>1699</v>
      </c>
      <c r="H411" s="16"/>
    </row>
    <row r="412" spans="1:8" ht="47.25" hidden="1">
      <c r="A412" s="102">
        <v>45944</v>
      </c>
      <c r="B412" s="16" t="s">
        <v>75</v>
      </c>
      <c r="C412" s="16" t="s">
        <v>1507</v>
      </c>
      <c r="D412" s="16" t="s">
        <v>1700</v>
      </c>
      <c r="E412" s="16" t="s">
        <v>41</v>
      </c>
      <c r="F412" s="16" t="s">
        <v>77</v>
      </c>
      <c r="G412" s="17" t="s">
        <v>1701</v>
      </c>
      <c r="H412" s="16"/>
    </row>
    <row r="413" spans="1:8" ht="260.25" hidden="1" customHeight="1">
      <c r="A413" s="102">
        <v>45945</v>
      </c>
      <c r="B413" s="16" t="s">
        <v>75</v>
      </c>
      <c r="C413" s="16" t="s">
        <v>1247</v>
      </c>
      <c r="D413" s="16" t="s">
        <v>1248</v>
      </c>
      <c r="E413" s="16" t="s">
        <v>40</v>
      </c>
      <c r="F413" s="16" t="s">
        <v>71</v>
      </c>
      <c r="G413" s="17" t="s">
        <v>1702</v>
      </c>
      <c r="H413" s="16"/>
    </row>
    <row r="414" spans="1:8" ht="94.5" hidden="1">
      <c r="A414" s="102">
        <v>45945</v>
      </c>
      <c r="B414" s="16" t="s">
        <v>75</v>
      </c>
      <c r="C414" s="16" t="s">
        <v>1227</v>
      </c>
      <c r="D414" s="16" t="s">
        <v>1228</v>
      </c>
      <c r="E414" s="16" t="s">
        <v>40</v>
      </c>
      <c r="F414" s="16" t="s">
        <v>71</v>
      </c>
      <c r="G414" s="17" t="s">
        <v>1703</v>
      </c>
      <c r="H414" s="16"/>
    </row>
    <row r="415" spans="1:8" ht="31.5" hidden="1">
      <c r="A415" s="102">
        <v>45945</v>
      </c>
      <c r="B415" s="16" t="s">
        <v>91</v>
      </c>
      <c r="C415" s="16" t="s">
        <v>1704</v>
      </c>
      <c r="D415" s="16" t="s">
        <v>1705</v>
      </c>
      <c r="E415" s="16" t="s">
        <v>40</v>
      </c>
      <c r="F415" s="16" t="s">
        <v>77</v>
      </c>
      <c r="G415" s="17" t="s">
        <v>1706</v>
      </c>
      <c r="H415" s="16"/>
    </row>
    <row r="416" spans="1:8" ht="47.25" hidden="1">
      <c r="A416" s="102">
        <v>45946</v>
      </c>
      <c r="B416" s="16" t="s">
        <v>76</v>
      </c>
      <c r="C416" s="16" t="s">
        <v>1560</v>
      </c>
      <c r="D416" s="16" t="s">
        <v>1707</v>
      </c>
      <c r="E416" s="16" t="s">
        <v>40</v>
      </c>
      <c r="F416" s="16" t="s">
        <v>71</v>
      </c>
      <c r="G416" s="17" t="s">
        <v>1708</v>
      </c>
      <c r="H416" s="16"/>
    </row>
    <row r="417" spans="1:8" ht="110.25" hidden="1">
      <c r="A417" s="102">
        <v>45946</v>
      </c>
      <c r="B417" s="16" t="s">
        <v>91</v>
      </c>
      <c r="C417" s="16" t="s">
        <v>1593</v>
      </c>
      <c r="D417" s="16" t="s">
        <v>1709</v>
      </c>
      <c r="E417" s="16" t="s">
        <v>40</v>
      </c>
      <c r="F417" s="16" t="s">
        <v>71</v>
      </c>
      <c r="G417" s="17" t="s">
        <v>1710</v>
      </c>
      <c r="H417" s="16"/>
    </row>
    <row r="418" spans="1:8" hidden="1">
      <c r="A418" s="102">
        <v>45946</v>
      </c>
      <c r="B418" s="16" t="s">
        <v>91</v>
      </c>
      <c r="C418" s="16" t="s">
        <v>763</v>
      </c>
      <c r="D418" s="16" t="s">
        <v>206</v>
      </c>
      <c r="E418" s="16" t="s">
        <v>41</v>
      </c>
      <c r="F418" s="16" t="s">
        <v>77</v>
      </c>
      <c r="G418" s="17" t="s">
        <v>1711</v>
      </c>
      <c r="H418" s="16"/>
    </row>
    <row r="419" spans="1:8" ht="31.5" hidden="1">
      <c r="A419" s="102">
        <v>45946</v>
      </c>
      <c r="B419" s="16" t="s">
        <v>197</v>
      </c>
      <c r="C419" s="16" t="s">
        <v>1233</v>
      </c>
      <c r="D419" s="16" t="s">
        <v>1448</v>
      </c>
      <c r="E419" s="16" t="s">
        <v>41</v>
      </c>
      <c r="F419" s="16" t="s">
        <v>77</v>
      </c>
      <c r="G419" s="17" t="s">
        <v>1712</v>
      </c>
      <c r="H419" s="16"/>
    </row>
    <row r="420" spans="1:8" ht="63" hidden="1">
      <c r="A420" s="102">
        <v>45946</v>
      </c>
      <c r="B420" s="16" t="s">
        <v>75</v>
      </c>
      <c r="C420" s="16" t="s">
        <v>1233</v>
      </c>
      <c r="D420" s="16" t="s">
        <v>1242</v>
      </c>
      <c r="E420" s="16" t="s">
        <v>41</v>
      </c>
      <c r="F420" s="16" t="s">
        <v>71</v>
      </c>
      <c r="G420" s="17" t="s">
        <v>1713</v>
      </c>
      <c r="H420" s="16"/>
    </row>
    <row r="421" spans="1:8" ht="63" hidden="1">
      <c r="A421" s="102">
        <v>45946</v>
      </c>
      <c r="B421" s="16" t="s">
        <v>75</v>
      </c>
      <c r="C421" s="16" t="s">
        <v>1487</v>
      </c>
      <c r="D421" s="16" t="s">
        <v>1714</v>
      </c>
      <c r="E421" s="16" t="s">
        <v>41</v>
      </c>
      <c r="F421" s="16" t="s">
        <v>64</v>
      </c>
      <c r="G421" s="17" t="s">
        <v>1715</v>
      </c>
      <c r="H421" s="16"/>
    </row>
    <row r="422" spans="1:8" ht="31.5" hidden="1">
      <c r="A422" s="102">
        <v>45946</v>
      </c>
      <c r="B422" s="16" t="s">
        <v>91</v>
      </c>
      <c r="C422" s="16" t="s">
        <v>1716</v>
      </c>
      <c r="D422" s="16" t="s">
        <v>206</v>
      </c>
      <c r="E422" s="16" t="s">
        <v>41</v>
      </c>
      <c r="F422" s="16" t="s">
        <v>77</v>
      </c>
      <c r="G422" s="17" t="s">
        <v>1717</v>
      </c>
      <c r="H422" s="16"/>
    </row>
    <row r="423" spans="1:8" hidden="1">
      <c r="A423" s="102">
        <v>45947</v>
      </c>
      <c r="B423" s="16" t="s">
        <v>197</v>
      </c>
      <c r="C423" s="16" t="s">
        <v>1261</v>
      </c>
      <c r="D423" s="16" t="s">
        <v>1718</v>
      </c>
      <c r="E423" s="16" t="s">
        <v>41</v>
      </c>
      <c r="F423" s="16" t="s">
        <v>77</v>
      </c>
      <c r="G423" s="17" t="s">
        <v>1719</v>
      </c>
      <c r="H423" s="16"/>
    </row>
    <row r="424" spans="1:8" ht="63" hidden="1">
      <c r="A424" s="102">
        <v>45947</v>
      </c>
      <c r="B424" s="16" t="s">
        <v>197</v>
      </c>
      <c r="C424" s="16" t="s">
        <v>533</v>
      </c>
      <c r="D424" s="16" t="s">
        <v>1626</v>
      </c>
      <c r="E424" s="16" t="s">
        <v>41</v>
      </c>
      <c r="F424" s="16" t="s">
        <v>77</v>
      </c>
      <c r="G424" s="17" t="s">
        <v>1720</v>
      </c>
      <c r="H424" s="16"/>
    </row>
    <row r="425" spans="1:8" ht="47.25" hidden="1">
      <c r="A425" s="102">
        <v>45947</v>
      </c>
      <c r="B425" s="16" t="s">
        <v>197</v>
      </c>
      <c r="C425" s="16" t="s">
        <v>1585</v>
      </c>
      <c r="D425" s="16" t="s">
        <v>1586</v>
      </c>
      <c r="E425" s="16" t="s">
        <v>41</v>
      </c>
      <c r="F425" s="16" t="s">
        <v>71</v>
      </c>
      <c r="G425" s="17" t="s">
        <v>1721</v>
      </c>
      <c r="H425" s="16"/>
    </row>
    <row r="426" spans="1:8" ht="31.5" hidden="1">
      <c r="A426" s="102">
        <v>45947</v>
      </c>
      <c r="B426" s="16" t="s">
        <v>91</v>
      </c>
      <c r="C426" s="17" t="s">
        <v>1722</v>
      </c>
      <c r="D426" s="16" t="s">
        <v>1723</v>
      </c>
      <c r="E426" s="16" t="s">
        <v>41</v>
      </c>
      <c r="F426" s="16" t="s">
        <v>77</v>
      </c>
      <c r="G426" s="17" t="s">
        <v>1724</v>
      </c>
      <c r="H426" s="16"/>
    </row>
    <row r="427" spans="1:8" ht="31.5" hidden="1">
      <c r="A427" s="102">
        <v>45947</v>
      </c>
      <c r="B427" s="16" t="s">
        <v>91</v>
      </c>
      <c r="C427" s="16" t="s">
        <v>1725</v>
      </c>
      <c r="D427" s="16" t="s">
        <v>1726</v>
      </c>
      <c r="E427" s="16" t="s">
        <v>41</v>
      </c>
      <c r="F427" s="16" t="s">
        <v>77</v>
      </c>
      <c r="G427" s="17" t="s">
        <v>1727</v>
      </c>
      <c r="H427" s="16"/>
    </row>
    <row r="428" spans="1:8" ht="78.75" hidden="1">
      <c r="A428" s="102">
        <v>45947</v>
      </c>
      <c r="B428" s="16" t="s">
        <v>197</v>
      </c>
      <c r="C428" s="16" t="s">
        <v>1314</v>
      </c>
      <c r="D428" s="16" t="s">
        <v>1315</v>
      </c>
      <c r="E428" s="16" t="s">
        <v>41</v>
      </c>
      <c r="F428" s="16" t="s">
        <v>77</v>
      </c>
      <c r="G428" s="17" t="s">
        <v>1728</v>
      </c>
      <c r="H428" s="16"/>
    </row>
    <row r="429" spans="1:8" ht="47.25" hidden="1">
      <c r="A429" s="102">
        <v>45947</v>
      </c>
      <c r="B429" s="16" t="s">
        <v>91</v>
      </c>
      <c r="C429" s="17" t="s">
        <v>1729</v>
      </c>
      <c r="D429" s="16" t="s">
        <v>1730</v>
      </c>
      <c r="E429" s="16" t="s">
        <v>41</v>
      </c>
      <c r="F429" s="16" t="s">
        <v>71</v>
      </c>
      <c r="G429" s="17" t="s">
        <v>1731</v>
      </c>
      <c r="H429" s="16"/>
    </row>
    <row r="430" spans="1:8" ht="63" hidden="1">
      <c r="A430" s="102">
        <v>45947</v>
      </c>
      <c r="B430" s="16" t="s">
        <v>91</v>
      </c>
      <c r="C430" s="16" t="s">
        <v>1732</v>
      </c>
      <c r="D430" s="16" t="s">
        <v>1733</v>
      </c>
      <c r="E430" s="16" t="s">
        <v>41</v>
      </c>
      <c r="F430" s="16" t="s">
        <v>71</v>
      </c>
      <c r="G430" s="17" t="s">
        <v>1734</v>
      </c>
      <c r="H430" s="16"/>
    </row>
    <row r="431" spans="1:8" hidden="1">
      <c r="A431" s="102">
        <v>45947</v>
      </c>
      <c r="B431" s="16" t="s">
        <v>91</v>
      </c>
      <c r="C431" s="16" t="s">
        <v>1735</v>
      </c>
      <c r="D431" s="16" t="s">
        <v>206</v>
      </c>
      <c r="E431" s="16" t="s">
        <v>41</v>
      </c>
      <c r="F431" s="16" t="s">
        <v>77</v>
      </c>
      <c r="G431" s="17" t="s">
        <v>1736</v>
      </c>
      <c r="H431" s="16"/>
    </row>
    <row r="432" spans="1:8" hidden="1">
      <c r="A432" s="102">
        <v>45947</v>
      </c>
      <c r="B432" s="16" t="s">
        <v>91</v>
      </c>
      <c r="C432" s="16" t="s">
        <v>1737</v>
      </c>
      <c r="D432" s="16" t="s">
        <v>206</v>
      </c>
      <c r="E432" s="16" t="s">
        <v>41</v>
      </c>
      <c r="F432" s="16" t="s">
        <v>77</v>
      </c>
      <c r="G432" s="17" t="s">
        <v>1738</v>
      </c>
      <c r="H432" s="16"/>
    </row>
    <row r="433" spans="1:8" hidden="1">
      <c r="A433" s="102">
        <v>45947</v>
      </c>
      <c r="B433" s="16" t="s">
        <v>91</v>
      </c>
      <c r="C433" s="16" t="s">
        <v>1739</v>
      </c>
      <c r="D433" s="16" t="s">
        <v>206</v>
      </c>
      <c r="E433" s="16" t="s">
        <v>41</v>
      </c>
      <c r="F433" s="16" t="s">
        <v>77</v>
      </c>
      <c r="G433" s="17" t="s">
        <v>1740</v>
      </c>
      <c r="H433" s="16"/>
    </row>
    <row r="434" spans="1:8" hidden="1">
      <c r="A434" s="102">
        <v>45947</v>
      </c>
      <c r="B434" s="16" t="s">
        <v>91</v>
      </c>
      <c r="C434" s="16" t="s">
        <v>1741</v>
      </c>
      <c r="D434" s="16" t="s">
        <v>206</v>
      </c>
      <c r="E434" s="16" t="s">
        <v>41</v>
      </c>
      <c r="F434" s="16" t="s">
        <v>77</v>
      </c>
      <c r="G434" s="17" t="s">
        <v>1742</v>
      </c>
      <c r="H434" s="16"/>
    </row>
    <row r="435" spans="1:8" ht="63" hidden="1">
      <c r="A435" s="102">
        <v>45947</v>
      </c>
      <c r="B435" s="16" t="s">
        <v>91</v>
      </c>
      <c r="C435" s="16" t="s">
        <v>1743</v>
      </c>
      <c r="D435" s="16" t="s">
        <v>1744</v>
      </c>
      <c r="E435" s="16" t="s">
        <v>41</v>
      </c>
      <c r="F435" s="16" t="s">
        <v>64</v>
      </c>
      <c r="G435" s="17" t="s">
        <v>1745</v>
      </c>
      <c r="H435" s="16"/>
    </row>
    <row r="436" spans="1:8" ht="126" hidden="1">
      <c r="A436" s="102">
        <v>45947</v>
      </c>
      <c r="B436" s="16" t="s">
        <v>91</v>
      </c>
      <c r="C436" s="16" t="s">
        <v>1743</v>
      </c>
      <c r="D436" s="16" t="s">
        <v>1746</v>
      </c>
      <c r="E436" s="16" t="s">
        <v>41</v>
      </c>
      <c r="F436" s="16" t="s">
        <v>71</v>
      </c>
      <c r="G436" s="17" t="s">
        <v>1747</v>
      </c>
      <c r="H436" s="16"/>
    </row>
    <row r="437" spans="1:8" hidden="1"/>
    <row r="438" spans="1:8" hidden="1">
      <c r="A438" s="3" t="s">
        <v>70</v>
      </c>
      <c r="B438" s="4" t="s">
        <v>72</v>
      </c>
      <c r="C438" s="4" t="s">
        <v>16</v>
      </c>
      <c r="D438" s="34" t="s">
        <v>155</v>
      </c>
      <c r="E438" s="9" t="s">
        <v>156</v>
      </c>
      <c r="F438" s="10" t="s">
        <v>157</v>
      </c>
    </row>
    <row r="439" spans="1:8" hidden="1">
      <c r="A439" s="132" t="s">
        <v>63</v>
      </c>
      <c r="B439" s="99" t="s">
        <v>68</v>
      </c>
      <c r="C439" s="99">
        <v>7</v>
      </c>
      <c r="D439" s="99">
        <f>C439</f>
        <v>7</v>
      </c>
      <c r="E439" s="133">
        <f>D439+D441+D443</f>
        <v>8.3333333333333339</v>
      </c>
      <c r="F439" s="134">
        <f>E439/12</f>
        <v>0.69444444444444453</v>
      </c>
    </row>
    <row r="440" spans="1:8" hidden="1">
      <c r="A440" s="122"/>
      <c r="B440" s="125" t="s">
        <v>65</v>
      </c>
      <c r="C440" s="125">
        <v>4</v>
      </c>
      <c r="D440" s="35" t="s">
        <v>158</v>
      </c>
      <c r="E440" s="123"/>
      <c r="F440" s="124"/>
    </row>
    <row r="441" spans="1:8" hidden="1">
      <c r="A441" s="122"/>
      <c r="B441" s="125"/>
      <c r="C441" s="125"/>
      <c r="D441" s="16">
        <f>C440/3</f>
        <v>1.3333333333333333</v>
      </c>
      <c r="E441" s="123"/>
      <c r="F441" s="124"/>
    </row>
    <row r="442" spans="1:8" hidden="1">
      <c r="A442" s="122"/>
      <c r="B442" s="125" t="s">
        <v>69</v>
      </c>
      <c r="C442" s="125">
        <v>24</v>
      </c>
      <c r="D442" s="35" t="s">
        <v>159</v>
      </c>
      <c r="E442" s="123"/>
      <c r="F442" s="124"/>
    </row>
    <row r="443" spans="1:8" hidden="1">
      <c r="A443" s="122"/>
      <c r="B443" s="125"/>
      <c r="C443" s="125"/>
      <c r="D443" s="16">
        <v>0</v>
      </c>
      <c r="E443" s="123"/>
      <c r="F443" s="124"/>
    </row>
    <row r="444" spans="1:8" hidden="1">
      <c r="A444" s="36" t="s">
        <v>70</v>
      </c>
      <c r="B444" s="37" t="s">
        <v>72</v>
      </c>
      <c r="C444" s="37" t="s">
        <v>16</v>
      </c>
      <c r="D444" s="126" t="s">
        <v>160</v>
      </c>
      <c r="E444" s="126"/>
      <c r="F444" s="127"/>
    </row>
    <row r="445" spans="1:8" hidden="1">
      <c r="A445" s="122" t="s">
        <v>62</v>
      </c>
      <c r="B445" s="16" t="s">
        <v>68</v>
      </c>
      <c r="C445" s="16">
        <v>4</v>
      </c>
      <c r="D445" s="129">
        <f>C445/9</f>
        <v>0.44444444444444442</v>
      </c>
      <c r="E445" s="129"/>
      <c r="F445" s="124"/>
    </row>
    <row r="446" spans="1:8" ht="16.5" hidden="1" thickBot="1">
      <c r="A446" s="128"/>
      <c r="B446" s="20" t="s">
        <v>69</v>
      </c>
      <c r="C446" s="20">
        <v>1</v>
      </c>
      <c r="D446" s="130"/>
      <c r="E446" s="130"/>
      <c r="F446" s="131"/>
    </row>
    <row r="447" spans="1:8" hidden="1">
      <c r="A447" s="14"/>
      <c r="B447" s="14"/>
      <c r="C447" s="14"/>
      <c r="D447" s="103"/>
      <c r="E447" s="103"/>
      <c r="F447" s="103"/>
    </row>
    <row r="448" spans="1:8" hidden="1">
      <c r="A448" s="14" t="s">
        <v>612</v>
      </c>
      <c r="B448" s="14"/>
      <c r="C448" s="14"/>
      <c r="D448" s="14"/>
      <c r="E448" s="14"/>
      <c r="F448" s="14"/>
      <c r="G448" s="14"/>
      <c r="H448" s="14"/>
    </row>
    <row r="449" spans="1:8" hidden="1">
      <c r="A449" s="37" t="s">
        <v>58</v>
      </c>
      <c r="B449" s="37" t="s">
        <v>67</v>
      </c>
      <c r="C449" s="37" t="s">
        <v>3</v>
      </c>
      <c r="D449" s="37" t="s">
        <v>57</v>
      </c>
      <c r="E449" s="37" t="s">
        <v>59</v>
      </c>
      <c r="F449" s="37" t="s">
        <v>61</v>
      </c>
      <c r="G449" s="37" t="s">
        <v>60</v>
      </c>
      <c r="H449" s="37" t="s">
        <v>66</v>
      </c>
    </row>
    <row r="450" spans="1:8" hidden="1">
      <c r="A450" s="102">
        <v>45950</v>
      </c>
      <c r="B450" s="16" t="s">
        <v>91</v>
      </c>
      <c r="C450" s="16" t="s">
        <v>1748</v>
      </c>
      <c r="D450" s="16" t="s">
        <v>1749</v>
      </c>
      <c r="E450" s="16" t="s">
        <v>41</v>
      </c>
      <c r="F450" s="16" t="s">
        <v>77</v>
      </c>
      <c r="G450" s="17" t="s">
        <v>1385</v>
      </c>
      <c r="H450" s="16"/>
    </row>
    <row r="451" spans="1:8" hidden="1">
      <c r="A451" s="102">
        <v>45950</v>
      </c>
      <c r="B451" s="16" t="s">
        <v>91</v>
      </c>
      <c r="C451" s="16" t="s">
        <v>1404</v>
      </c>
      <c r="D451" s="16" t="s">
        <v>1750</v>
      </c>
      <c r="E451" s="16" t="s">
        <v>41</v>
      </c>
      <c r="F451" s="16" t="s">
        <v>77</v>
      </c>
      <c r="G451" s="17" t="s">
        <v>1545</v>
      </c>
      <c r="H451" s="16"/>
    </row>
    <row r="452" spans="1:8" hidden="1">
      <c r="A452" s="102">
        <v>45950</v>
      </c>
      <c r="B452" s="16" t="s">
        <v>91</v>
      </c>
      <c r="C452" s="16" t="s">
        <v>1751</v>
      </c>
      <c r="D452" s="16" t="s">
        <v>206</v>
      </c>
      <c r="E452" s="16" t="s">
        <v>41</v>
      </c>
      <c r="F452" s="16" t="s">
        <v>77</v>
      </c>
      <c r="G452" s="17" t="s">
        <v>1752</v>
      </c>
      <c r="H452" s="16"/>
    </row>
    <row r="453" spans="1:8" ht="31.5" hidden="1">
      <c r="A453" s="102">
        <v>45950</v>
      </c>
      <c r="B453" s="16" t="s">
        <v>75</v>
      </c>
      <c r="C453" s="16" t="s">
        <v>1227</v>
      </c>
      <c r="D453" s="16" t="s">
        <v>1228</v>
      </c>
      <c r="E453" s="16" t="s">
        <v>41</v>
      </c>
      <c r="F453" s="16" t="s">
        <v>71</v>
      </c>
      <c r="G453" s="17" t="s">
        <v>1753</v>
      </c>
      <c r="H453" s="16"/>
    </row>
    <row r="454" spans="1:8" hidden="1">
      <c r="A454" s="102">
        <v>45950</v>
      </c>
      <c r="B454" s="16" t="s">
        <v>197</v>
      </c>
      <c r="C454" s="16" t="s">
        <v>532</v>
      </c>
      <c r="D454" s="16" t="s">
        <v>539</v>
      </c>
      <c r="E454" s="16" t="s">
        <v>41</v>
      </c>
      <c r="F454" s="17" t="s">
        <v>77</v>
      </c>
      <c r="G454" s="43" t="s">
        <v>1385</v>
      </c>
      <c r="H454" s="16"/>
    </row>
    <row r="455" spans="1:8" hidden="1">
      <c r="A455" s="102">
        <v>45950</v>
      </c>
      <c r="B455" s="16" t="s">
        <v>75</v>
      </c>
      <c r="C455" s="16" t="s">
        <v>1505</v>
      </c>
      <c r="D455" s="16" t="s">
        <v>1506</v>
      </c>
      <c r="E455" s="16" t="s">
        <v>41</v>
      </c>
      <c r="F455" s="16" t="s">
        <v>77</v>
      </c>
      <c r="G455" s="17" t="s">
        <v>1385</v>
      </c>
      <c r="H455" s="16"/>
    </row>
    <row r="456" spans="1:8" hidden="1">
      <c r="A456" s="102">
        <v>45950</v>
      </c>
      <c r="B456" s="16" t="s">
        <v>75</v>
      </c>
      <c r="C456" s="16" t="s">
        <v>1507</v>
      </c>
      <c r="D456" s="16" t="s">
        <v>1754</v>
      </c>
      <c r="E456" s="16" t="s">
        <v>41</v>
      </c>
      <c r="F456" s="16" t="s">
        <v>77</v>
      </c>
      <c r="G456" s="17" t="s">
        <v>1385</v>
      </c>
      <c r="H456" s="16"/>
    </row>
    <row r="457" spans="1:8" hidden="1">
      <c r="A457" s="102">
        <v>45950</v>
      </c>
      <c r="B457" s="16" t="s">
        <v>91</v>
      </c>
      <c r="C457" s="16" t="s">
        <v>1755</v>
      </c>
      <c r="D457" s="16"/>
      <c r="E457" s="16" t="s">
        <v>41</v>
      </c>
      <c r="F457" s="16" t="s">
        <v>77</v>
      </c>
      <c r="G457" s="17" t="s">
        <v>1756</v>
      </c>
      <c r="H457" s="16"/>
    </row>
    <row r="458" spans="1:8" ht="47.25" hidden="1">
      <c r="A458" s="102">
        <v>45950</v>
      </c>
      <c r="B458" s="16" t="s">
        <v>91</v>
      </c>
      <c r="C458" s="16" t="s">
        <v>1748</v>
      </c>
      <c r="D458" s="16" t="s">
        <v>1757</v>
      </c>
      <c r="E458" s="16" t="s">
        <v>41</v>
      </c>
      <c r="F458" s="16" t="s">
        <v>64</v>
      </c>
      <c r="G458" s="17" t="s">
        <v>1758</v>
      </c>
      <c r="H458" s="16"/>
    </row>
    <row r="459" spans="1:8" hidden="1">
      <c r="A459" s="102">
        <v>45950</v>
      </c>
      <c r="B459" s="16" t="s">
        <v>75</v>
      </c>
      <c r="C459" s="16" t="s">
        <v>362</v>
      </c>
      <c r="D459" s="16" t="s">
        <v>421</v>
      </c>
      <c r="E459" s="16" t="s">
        <v>41</v>
      </c>
      <c r="F459" s="16" t="s">
        <v>77</v>
      </c>
      <c r="G459" s="17" t="s">
        <v>1759</v>
      </c>
      <c r="H459" s="16"/>
    </row>
    <row r="460" spans="1:8" hidden="1">
      <c r="A460" s="102">
        <v>45950</v>
      </c>
      <c r="B460" s="16" t="s">
        <v>197</v>
      </c>
      <c r="C460" s="16" t="s">
        <v>1207</v>
      </c>
      <c r="D460" s="16" t="s">
        <v>1602</v>
      </c>
      <c r="E460" s="16" t="s">
        <v>41</v>
      </c>
      <c r="F460" s="16" t="s">
        <v>71</v>
      </c>
      <c r="G460" s="17" t="s">
        <v>1760</v>
      </c>
      <c r="H460" s="16"/>
    </row>
    <row r="461" spans="1:8" hidden="1">
      <c r="A461" s="102">
        <v>45950</v>
      </c>
      <c r="B461" s="16" t="s">
        <v>75</v>
      </c>
      <c r="C461" s="16" t="s">
        <v>1256</v>
      </c>
      <c r="D461" s="16" t="s">
        <v>1271</v>
      </c>
      <c r="E461" s="16" t="s">
        <v>41</v>
      </c>
      <c r="F461" s="16" t="s">
        <v>77</v>
      </c>
      <c r="G461" s="17" t="s">
        <v>1385</v>
      </c>
      <c r="H461" s="16"/>
    </row>
    <row r="462" spans="1:8" hidden="1">
      <c r="A462" s="102">
        <v>45950</v>
      </c>
      <c r="B462" s="16" t="s">
        <v>197</v>
      </c>
      <c r="C462" s="16" t="s">
        <v>1646</v>
      </c>
      <c r="D462" s="16" t="s">
        <v>1605</v>
      </c>
      <c r="E462" s="16" t="s">
        <v>41</v>
      </c>
      <c r="F462" s="16" t="s">
        <v>77</v>
      </c>
      <c r="G462" s="17" t="s">
        <v>1761</v>
      </c>
      <c r="H462" s="16"/>
    </row>
    <row r="463" spans="1:8" hidden="1">
      <c r="A463" s="102">
        <v>45950</v>
      </c>
      <c r="B463" s="16" t="s">
        <v>75</v>
      </c>
      <c r="C463" s="16" t="s">
        <v>1442</v>
      </c>
      <c r="D463" s="16" t="s">
        <v>1762</v>
      </c>
      <c r="E463" s="16" t="s">
        <v>41</v>
      </c>
      <c r="F463" s="16" t="s">
        <v>77</v>
      </c>
      <c r="G463" s="17" t="s">
        <v>1763</v>
      </c>
      <c r="H463" s="16"/>
    </row>
    <row r="464" spans="1:8" ht="173.25" hidden="1">
      <c r="A464" s="102">
        <v>45951</v>
      </c>
      <c r="B464" s="16" t="s">
        <v>91</v>
      </c>
      <c r="C464" s="16" t="s">
        <v>1748</v>
      </c>
      <c r="D464" s="16" t="s">
        <v>1764</v>
      </c>
      <c r="E464" s="16" t="s">
        <v>40</v>
      </c>
      <c r="F464" s="16" t="s">
        <v>71</v>
      </c>
      <c r="G464" s="17" t="s">
        <v>1765</v>
      </c>
      <c r="H464" s="16"/>
    </row>
    <row r="465" spans="1:8" ht="47.25" hidden="1">
      <c r="A465" s="102">
        <v>45951</v>
      </c>
      <c r="B465" s="16" t="s">
        <v>91</v>
      </c>
      <c r="C465" s="16" t="s">
        <v>1766</v>
      </c>
      <c r="D465" s="16" t="s">
        <v>1767</v>
      </c>
      <c r="E465" s="16" t="s">
        <v>40</v>
      </c>
      <c r="F465" s="16" t="s">
        <v>77</v>
      </c>
      <c r="G465" s="17" t="s">
        <v>1768</v>
      </c>
      <c r="H465" s="16"/>
    </row>
    <row r="466" spans="1:8" ht="31.5" hidden="1">
      <c r="A466" s="102">
        <v>45952</v>
      </c>
      <c r="B466" s="16" t="s">
        <v>75</v>
      </c>
      <c r="C466" s="16" t="s">
        <v>1487</v>
      </c>
      <c r="D466" s="16" t="s">
        <v>1769</v>
      </c>
      <c r="E466" s="16" t="s">
        <v>41</v>
      </c>
      <c r="F466" s="16" t="s">
        <v>64</v>
      </c>
      <c r="G466" s="17" t="s">
        <v>1770</v>
      </c>
      <c r="H466" s="16"/>
    </row>
    <row r="467" spans="1:8" ht="47.25" hidden="1">
      <c r="A467" s="102">
        <v>45952</v>
      </c>
      <c r="B467" s="16" t="s">
        <v>197</v>
      </c>
      <c r="C467" s="16" t="s">
        <v>1227</v>
      </c>
      <c r="D467" s="16" t="s">
        <v>1275</v>
      </c>
      <c r="E467" s="16" t="s">
        <v>41</v>
      </c>
      <c r="F467" s="16" t="s">
        <v>71</v>
      </c>
      <c r="G467" s="17" t="s">
        <v>1771</v>
      </c>
      <c r="H467" s="16"/>
    </row>
    <row r="468" spans="1:8" hidden="1">
      <c r="A468" s="102">
        <v>45952</v>
      </c>
      <c r="B468" s="16" t="s">
        <v>75</v>
      </c>
      <c r="C468" s="16" t="s">
        <v>1490</v>
      </c>
      <c r="D468" s="16" t="s">
        <v>1491</v>
      </c>
      <c r="E468" s="16" t="s">
        <v>41</v>
      </c>
      <c r="F468" s="16" t="s">
        <v>77</v>
      </c>
      <c r="G468" s="17" t="s">
        <v>1772</v>
      </c>
      <c r="H468" s="16"/>
    </row>
    <row r="469" spans="1:8" ht="31.5" hidden="1">
      <c r="A469" s="102">
        <v>45952</v>
      </c>
      <c r="B469" s="16" t="s">
        <v>75</v>
      </c>
      <c r="C469" s="16" t="s">
        <v>886</v>
      </c>
      <c r="D469" s="16" t="s">
        <v>1492</v>
      </c>
      <c r="E469" s="16" t="s">
        <v>41</v>
      </c>
      <c r="F469" s="16" t="s">
        <v>64</v>
      </c>
      <c r="G469" s="17" t="s">
        <v>1773</v>
      </c>
      <c r="H469" s="16"/>
    </row>
    <row r="470" spans="1:8" hidden="1">
      <c r="A470" s="102">
        <v>45952</v>
      </c>
      <c r="B470" s="16" t="s">
        <v>197</v>
      </c>
      <c r="C470" s="16" t="s">
        <v>532</v>
      </c>
      <c r="D470" s="16" t="s">
        <v>539</v>
      </c>
      <c r="E470" s="16" t="s">
        <v>41</v>
      </c>
      <c r="F470" s="17" t="s">
        <v>77</v>
      </c>
      <c r="G470" s="17" t="s">
        <v>1385</v>
      </c>
      <c r="H470" s="16"/>
    </row>
    <row r="471" spans="1:8" hidden="1">
      <c r="A471" s="102">
        <v>45952</v>
      </c>
      <c r="B471" s="16" t="s">
        <v>75</v>
      </c>
      <c r="C471" s="16" t="s">
        <v>1256</v>
      </c>
      <c r="D471" s="16" t="s">
        <v>1271</v>
      </c>
      <c r="E471" s="16" t="s">
        <v>41</v>
      </c>
      <c r="F471" s="17" t="s">
        <v>77</v>
      </c>
      <c r="G471" s="17" t="s">
        <v>1385</v>
      </c>
      <c r="H471" s="16"/>
    </row>
    <row r="472" spans="1:8" ht="173.25" hidden="1">
      <c r="A472" s="102">
        <v>45952</v>
      </c>
      <c r="B472" s="16" t="s">
        <v>91</v>
      </c>
      <c r="C472" s="16" t="s">
        <v>1774</v>
      </c>
      <c r="D472" s="16" t="s">
        <v>1775</v>
      </c>
      <c r="E472" s="16" t="s">
        <v>41</v>
      </c>
      <c r="F472" s="17" t="s">
        <v>71</v>
      </c>
      <c r="G472" s="17" t="s">
        <v>1776</v>
      </c>
      <c r="H472" s="16"/>
    </row>
    <row r="473" spans="1:8" hidden="1">
      <c r="A473" s="102">
        <v>45952</v>
      </c>
      <c r="B473" s="16" t="s">
        <v>91</v>
      </c>
      <c r="C473" s="16" t="s">
        <v>1777</v>
      </c>
      <c r="D473" s="16" t="s">
        <v>206</v>
      </c>
      <c r="E473" s="16" t="s">
        <v>41</v>
      </c>
      <c r="F473" s="17" t="s">
        <v>77</v>
      </c>
      <c r="G473" s="17" t="s">
        <v>1778</v>
      </c>
      <c r="H473" s="16"/>
    </row>
    <row r="474" spans="1:8" hidden="1">
      <c r="A474" s="102">
        <v>45952</v>
      </c>
      <c r="B474" s="16" t="s">
        <v>91</v>
      </c>
      <c r="C474" s="16" t="s">
        <v>1779</v>
      </c>
      <c r="D474" s="16" t="s">
        <v>206</v>
      </c>
      <c r="E474" s="16" t="s">
        <v>41</v>
      </c>
      <c r="F474" s="17" t="s">
        <v>77</v>
      </c>
      <c r="G474" s="17" t="s">
        <v>1778</v>
      </c>
      <c r="H474" s="16"/>
    </row>
    <row r="475" spans="1:8" ht="78.75" hidden="1">
      <c r="A475" s="102">
        <v>45952</v>
      </c>
      <c r="B475" s="16" t="s">
        <v>91</v>
      </c>
      <c r="C475" s="16" t="s">
        <v>1780</v>
      </c>
      <c r="D475" s="16" t="s">
        <v>1781</v>
      </c>
      <c r="E475" s="16" t="s">
        <v>41</v>
      </c>
      <c r="F475" s="17" t="s">
        <v>71</v>
      </c>
      <c r="G475" s="17" t="s">
        <v>1782</v>
      </c>
      <c r="H475" s="16"/>
    </row>
    <row r="476" spans="1:8" ht="31.5" hidden="1">
      <c r="A476" s="102">
        <v>45952</v>
      </c>
      <c r="B476" s="16" t="s">
        <v>91</v>
      </c>
      <c r="C476" s="16" t="s">
        <v>1783</v>
      </c>
      <c r="D476" s="16" t="s">
        <v>1534</v>
      </c>
      <c r="E476" s="16" t="s">
        <v>41</v>
      </c>
      <c r="F476" s="17" t="s">
        <v>77</v>
      </c>
      <c r="G476" s="17" t="s">
        <v>1784</v>
      </c>
      <c r="H476" s="16"/>
    </row>
    <row r="477" spans="1:8" hidden="1">
      <c r="A477" s="102">
        <v>45952</v>
      </c>
      <c r="B477" s="16" t="s">
        <v>91</v>
      </c>
      <c r="C477" s="16" t="s">
        <v>1755</v>
      </c>
      <c r="D477" s="16" t="s">
        <v>206</v>
      </c>
      <c r="E477" s="16" t="s">
        <v>41</v>
      </c>
      <c r="F477" s="17" t="s">
        <v>77</v>
      </c>
      <c r="G477" s="17" t="s">
        <v>1785</v>
      </c>
      <c r="H477" s="16"/>
    </row>
    <row r="478" spans="1:8" ht="31.5" hidden="1">
      <c r="A478" s="102">
        <v>45953</v>
      </c>
      <c r="B478" s="16" t="s">
        <v>75</v>
      </c>
      <c r="C478" s="16" t="s">
        <v>1487</v>
      </c>
      <c r="D478" s="16" t="s">
        <v>1786</v>
      </c>
      <c r="E478" s="16" t="s">
        <v>40</v>
      </c>
      <c r="F478" s="17" t="s">
        <v>71</v>
      </c>
      <c r="G478" s="17" t="s">
        <v>1787</v>
      </c>
      <c r="H478" s="16"/>
    </row>
    <row r="479" spans="1:8" ht="47.25" hidden="1">
      <c r="A479" s="102">
        <v>45953</v>
      </c>
      <c r="B479" s="16" t="s">
        <v>75</v>
      </c>
      <c r="C479" s="16" t="s">
        <v>886</v>
      </c>
      <c r="D479" s="16" t="s">
        <v>1492</v>
      </c>
      <c r="E479" s="16" t="s">
        <v>40</v>
      </c>
      <c r="F479" s="17" t="s">
        <v>71</v>
      </c>
      <c r="G479" s="17" t="s">
        <v>1788</v>
      </c>
      <c r="H479" s="16"/>
    </row>
    <row r="480" spans="1:8" hidden="1"/>
    <row r="481" spans="1:8" hidden="1">
      <c r="A481" s="3" t="s">
        <v>70</v>
      </c>
      <c r="B481" s="4" t="s">
        <v>72</v>
      </c>
      <c r="C481" s="4" t="s">
        <v>16</v>
      </c>
      <c r="D481" s="34" t="s">
        <v>155</v>
      </c>
      <c r="E481" s="9" t="s">
        <v>156</v>
      </c>
      <c r="F481" s="10" t="s">
        <v>157</v>
      </c>
    </row>
    <row r="482" spans="1:8" hidden="1">
      <c r="A482" s="132" t="s">
        <v>63</v>
      </c>
      <c r="B482" s="99" t="s">
        <v>68</v>
      </c>
      <c r="C482" s="99">
        <v>5</v>
      </c>
      <c r="D482" s="99">
        <f>C482</f>
        <v>5</v>
      </c>
      <c r="E482" s="133">
        <f>D482+D484+D486</f>
        <v>6</v>
      </c>
      <c r="F482" s="134">
        <f>E482/12</f>
        <v>0.5</v>
      </c>
    </row>
    <row r="483" spans="1:8" hidden="1">
      <c r="A483" s="122"/>
      <c r="B483" s="125" t="s">
        <v>65</v>
      </c>
      <c r="C483" s="125">
        <v>3</v>
      </c>
      <c r="D483" s="35" t="s">
        <v>158</v>
      </c>
      <c r="E483" s="123"/>
      <c r="F483" s="124"/>
    </row>
    <row r="484" spans="1:8" hidden="1">
      <c r="A484" s="122"/>
      <c r="B484" s="125"/>
      <c r="C484" s="125"/>
      <c r="D484" s="16">
        <f>C483/3</f>
        <v>1</v>
      </c>
      <c r="E484" s="123"/>
      <c r="F484" s="124"/>
    </row>
    <row r="485" spans="1:8" hidden="1">
      <c r="A485" s="122"/>
      <c r="B485" s="125" t="s">
        <v>69</v>
      </c>
      <c r="C485" s="125">
        <v>18</v>
      </c>
      <c r="D485" s="35" t="s">
        <v>159</v>
      </c>
      <c r="E485" s="123"/>
      <c r="F485" s="124"/>
    </row>
    <row r="486" spans="1:8" hidden="1">
      <c r="A486" s="122"/>
      <c r="B486" s="125"/>
      <c r="C486" s="125"/>
      <c r="D486" s="16">
        <v>0</v>
      </c>
      <c r="E486" s="123"/>
      <c r="F486" s="124"/>
    </row>
    <row r="487" spans="1:8" hidden="1">
      <c r="A487" s="36" t="s">
        <v>70</v>
      </c>
      <c r="B487" s="37" t="s">
        <v>72</v>
      </c>
      <c r="C487" s="37" t="s">
        <v>16</v>
      </c>
      <c r="D487" s="126" t="s">
        <v>160</v>
      </c>
      <c r="E487" s="126"/>
      <c r="F487" s="127"/>
    </row>
    <row r="488" spans="1:8" hidden="1">
      <c r="A488" s="122" t="s">
        <v>62</v>
      </c>
      <c r="B488" s="16" t="s">
        <v>68</v>
      </c>
      <c r="C488" s="16">
        <v>3</v>
      </c>
      <c r="D488" s="129">
        <f>C488/9</f>
        <v>0.33333333333333331</v>
      </c>
      <c r="E488" s="129"/>
      <c r="F488" s="124"/>
    </row>
    <row r="489" spans="1:8" ht="16.5" hidden="1" thickBot="1">
      <c r="A489" s="128"/>
      <c r="B489" s="20" t="s">
        <v>69</v>
      </c>
      <c r="C489" s="20">
        <v>1</v>
      </c>
      <c r="D489" s="130"/>
      <c r="E489" s="130"/>
      <c r="F489" s="131"/>
    </row>
    <row r="490" spans="1:8" hidden="1"/>
    <row r="491" spans="1:8" hidden="1">
      <c r="A491" t="s">
        <v>1789</v>
      </c>
    </row>
    <row r="492" spans="1:8" hidden="1">
      <c r="A492" s="37" t="s">
        <v>58</v>
      </c>
      <c r="B492" s="37" t="s">
        <v>67</v>
      </c>
      <c r="C492" s="37" t="s">
        <v>3</v>
      </c>
      <c r="D492" s="37" t="s">
        <v>57</v>
      </c>
      <c r="E492" s="37" t="s">
        <v>59</v>
      </c>
      <c r="F492" s="37" t="s">
        <v>61</v>
      </c>
      <c r="G492" s="37" t="s">
        <v>60</v>
      </c>
      <c r="H492" s="37" t="s">
        <v>66</v>
      </c>
    </row>
    <row r="493" spans="1:8" ht="31.5" hidden="1">
      <c r="A493" s="102">
        <v>45957</v>
      </c>
      <c r="B493" s="16" t="s">
        <v>91</v>
      </c>
      <c r="C493" s="16" t="s">
        <v>1790</v>
      </c>
      <c r="D493" s="16" t="s">
        <v>1791</v>
      </c>
      <c r="E493" s="16" t="s">
        <v>41</v>
      </c>
      <c r="F493" s="16" t="s">
        <v>77</v>
      </c>
      <c r="G493" s="17" t="s">
        <v>1792</v>
      </c>
      <c r="H493" s="16"/>
    </row>
    <row r="494" spans="1:8" hidden="1">
      <c r="A494" s="102">
        <v>45957</v>
      </c>
      <c r="B494" s="16" t="s">
        <v>91</v>
      </c>
      <c r="C494" s="16" t="s">
        <v>1793</v>
      </c>
      <c r="D494" s="16" t="s">
        <v>206</v>
      </c>
      <c r="E494" s="16" t="s">
        <v>41</v>
      </c>
      <c r="F494" s="16" t="s">
        <v>77</v>
      </c>
      <c r="G494" s="17" t="s">
        <v>1794</v>
      </c>
      <c r="H494" s="16"/>
    </row>
    <row r="495" spans="1:8" hidden="1">
      <c r="A495" s="102">
        <v>45957</v>
      </c>
      <c r="B495" s="16" t="s">
        <v>197</v>
      </c>
      <c r="C495" s="16" t="s">
        <v>1247</v>
      </c>
      <c r="D495" s="16" t="s">
        <v>1795</v>
      </c>
      <c r="E495" s="16" t="s">
        <v>41</v>
      </c>
      <c r="F495" s="16" t="s">
        <v>77</v>
      </c>
      <c r="G495" s="17" t="s">
        <v>1796</v>
      </c>
      <c r="H495" s="16"/>
    </row>
    <row r="496" spans="1:8" ht="47.25" hidden="1">
      <c r="A496" s="102">
        <v>45957</v>
      </c>
      <c r="B496" s="16" t="s">
        <v>75</v>
      </c>
      <c r="C496" s="16" t="s">
        <v>1256</v>
      </c>
      <c r="D496" s="16" t="s">
        <v>1797</v>
      </c>
      <c r="E496" s="16" t="s">
        <v>41</v>
      </c>
      <c r="F496" s="16" t="s">
        <v>77</v>
      </c>
      <c r="G496" s="17" t="s">
        <v>1798</v>
      </c>
      <c r="H496" s="16"/>
    </row>
    <row r="497" spans="1:8" hidden="1">
      <c r="A497" s="102">
        <v>45958</v>
      </c>
      <c r="B497" s="16" t="s">
        <v>197</v>
      </c>
      <c r="C497" s="16" t="s">
        <v>1268</v>
      </c>
      <c r="D497" s="16" t="s">
        <v>1799</v>
      </c>
      <c r="E497" s="16" t="s">
        <v>41</v>
      </c>
      <c r="F497" s="16" t="s">
        <v>77</v>
      </c>
      <c r="G497" s="17" t="s">
        <v>1800</v>
      </c>
      <c r="H497" s="16"/>
    </row>
    <row r="498" spans="1:8" ht="63" hidden="1">
      <c r="A498" s="102">
        <v>45958</v>
      </c>
      <c r="B498" s="16" t="s">
        <v>197</v>
      </c>
      <c r="C498" s="16" t="s">
        <v>532</v>
      </c>
      <c r="D498" s="16" t="s">
        <v>539</v>
      </c>
      <c r="E498" s="16" t="s">
        <v>41</v>
      </c>
      <c r="F498" s="16" t="s">
        <v>71</v>
      </c>
      <c r="G498" s="17" t="s">
        <v>1801</v>
      </c>
      <c r="H498" s="16"/>
    </row>
    <row r="499" spans="1:8" ht="63" hidden="1">
      <c r="A499" s="102">
        <v>45958</v>
      </c>
      <c r="B499" s="16" t="s">
        <v>197</v>
      </c>
      <c r="C499" s="16" t="s">
        <v>1376</v>
      </c>
      <c r="D499" s="16" t="s">
        <v>1502</v>
      </c>
      <c r="E499" s="16" t="s">
        <v>41</v>
      </c>
      <c r="F499" s="16" t="s">
        <v>71</v>
      </c>
      <c r="G499" s="17" t="s">
        <v>1802</v>
      </c>
      <c r="H499" s="16"/>
    </row>
    <row r="500" spans="1:8" ht="31.5" hidden="1">
      <c r="A500" s="102">
        <v>45958</v>
      </c>
      <c r="B500" s="16" t="s">
        <v>75</v>
      </c>
      <c r="C500" s="16" t="s">
        <v>1247</v>
      </c>
      <c r="D500" s="16" t="s">
        <v>1248</v>
      </c>
      <c r="E500" s="16" t="s">
        <v>41</v>
      </c>
      <c r="F500" s="16" t="s">
        <v>64</v>
      </c>
      <c r="G500" s="17" t="s">
        <v>1803</v>
      </c>
      <c r="H500" s="16"/>
    </row>
    <row r="501" spans="1:8" hidden="1">
      <c r="A501" s="102">
        <v>45958</v>
      </c>
      <c r="B501" s="16" t="s">
        <v>75</v>
      </c>
      <c r="C501" s="16" t="s">
        <v>1247</v>
      </c>
      <c r="D501" s="16" t="s">
        <v>1804</v>
      </c>
      <c r="E501" s="16" t="s">
        <v>41</v>
      </c>
      <c r="F501" s="16" t="s">
        <v>77</v>
      </c>
      <c r="G501" s="17" t="s">
        <v>1385</v>
      </c>
      <c r="H501" s="16"/>
    </row>
    <row r="502" spans="1:8" ht="47.25" hidden="1">
      <c r="A502" s="102">
        <v>45958</v>
      </c>
      <c r="B502" s="16" t="s">
        <v>75</v>
      </c>
      <c r="C502" s="16" t="s">
        <v>1227</v>
      </c>
      <c r="D502" s="16" t="s">
        <v>1805</v>
      </c>
      <c r="E502" s="16" t="s">
        <v>41</v>
      </c>
      <c r="F502" s="16" t="s">
        <v>64</v>
      </c>
      <c r="G502" s="17" t="s">
        <v>1806</v>
      </c>
      <c r="H502" s="16"/>
    </row>
    <row r="503" spans="1:8" hidden="1">
      <c r="A503" s="102">
        <v>45958</v>
      </c>
      <c r="B503" s="16" t="s">
        <v>91</v>
      </c>
      <c r="C503" s="16" t="s">
        <v>1774</v>
      </c>
      <c r="D503" s="16" t="s">
        <v>1807</v>
      </c>
      <c r="E503" s="16" t="s">
        <v>41</v>
      </c>
      <c r="F503" s="16" t="s">
        <v>77</v>
      </c>
      <c r="G503" s="17" t="s">
        <v>1385</v>
      </c>
      <c r="H503" s="16"/>
    </row>
    <row r="504" spans="1:8" ht="47.25" hidden="1">
      <c r="A504" s="102">
        <v>45958</v>
      </c>
      <c r="B504" s="16" t="s">
        <v>91</v>
      </c>
      <c r="C504" s="16" t="s">
        <v>1793</v>
      </c>
      <c r="D504" s="16" t="s">
        <v>1808</v>
      </c>
      <c r="E504" s="16" t="s">
        <v>41</v>
      </c>
      <c r="F504" s="16" t="s">
        <v>64</v>
      </c>
      <c r="G504" s="17" t="s">
        <v>1809</v>
      </c>
      <c r="H504" s="16"/>
    </row>
    <row r="505" spans="1:8" ht="31.5" hidden="1">
      <c r="A505" s="102">
        <v>45958</v>
      </c>
      <c r="B505" s="16" t="s">
        <v>91</v>
      </c>
      <c r="C505" s="16" t="s">
        <v>1810</v>
      </c>
      <c r="D505" s="16" t="s">
        <v>1811</v>
      </c>
      <c r="E505" s="16" t="s">
        <v>41</v>
      </c>
      <c r="F505" s="17" t="s">
        <v>77</v>
      </c>
      <c r="G505" s="43" t="s">
        <v>1812</v>
      </c>
      <c r="H505" s="16"/>
    </row>
    <row r="506" spans="1:8" ht="31.5" hidden="1">
      <c r="A506" s="102">
        <v>45958</v>
      </c>
      <c r="B506" s="16" t="s">
        <v>197</v>
      </c>
      <c r="C506" s="16" t="s">
        <v>1813</v>
      </c>
      <c r="D506" s="16" t="s">
        <v>1814</v>
      </c>
      <c r="E506" s="16" t="s">
        <v>41</v>
      </c>
      <c r="F506" s="16" t="s">
        <v>77</v>
      </c>
      <c r="G506" s="17" t="s">
        <v>1815</v>
      </c>
      <c r="H506" s="16"/>
    </row>
    <row r="507" spans="1:8" hidden="1">
      <c r="A507" s="102">
        <v>45958</v>
      </c>
      <c r="B507" s="16" t="s">
        <v>75</v>
      </c>
      <c r="C507" s="16" t="s">
        <v>92</v>
      </c>
      <c r="D507" s="16" t="s">
        <v>1816</v>
      </c>
      <c r="E507" s="16" t="s">
        <v>41</v>
      </c>
      <c r="F507" s="16" t="s">
        <v>77</v>
      </c>
      <c r="G507" s="17" t="s">
        <v>1817</v>
      </c>
      <c r="H507" s="16"/>
    </row>
    <row r="508" spans="1:8" hidden="1">
      <c r="A508" s="102">
        <v>45958</v>
      </c>
      <c r="B508" s="16" t="s">
        <v>91</v>
      </c>
      <c r="C508" s="16" t="s">
        <v>1818</v>
      </c>
      <c r="D508" s="16" t="s">
        <v>1422</v>
      </c>
      <c r="E508" s="16" t="s">
        <v>41</v>
      </c>
      <c r="F508" s="16" t="s">
        <v>77</v>
      </c>
      <c r="G508" s="17" t="s">
        <v>1385</v>
      </c>
      <c r="H508" s="16"/>
    </row>
    <row r="509" spans="1:8" hidden="1">
      <c r="A509" s="102">
        <v>45958</v>
      </c>
      <c r="B509" s="16" t="s">
        <v>91</v>
      </c>
      <c r="C509" s="16" t="s">
        <v>1819</v>
      </c>
      <c r="D509" s="16" t="s">
        <v>206</v>
      </c>
      <c r="E509" s="16" t="s">
        <v>41</v>
      </c>
      <c r="F509" s="16" t="s">
        <v>77</v>
      </c>
      <c r="G509" s="17" t="s">
        <v>1820</v>
      </c>
      <c r="H509" s="16"/>
    </row>
    <row r="510" spans="1:8" hidden="1">
      <c r="A510" s="102">
        <v>45958</v>
      </c>
      <c r="B510" s="16" t="s">
        <v>75</v>
      </c>
      <c r="C510" s="16" t="s">
        <v>1505</v>
      </c>
      <c r="D510" s="16" t="s">
        <v>1506</v>
      </c>
      <c r="E510" s="16" t="s">
        <v>41</v>
      </c>
      <c r="F510" s="16" t="s">
        <v>77</v>
      </c>
      <c r="G510" s="17" t="s">
        <v>1385</v>
      </c>
      <c r="H510" s="16"/>
    </row>
    <row r="511" spans="1:8" hidden="1">
      <c r="A511" s="102">
        <v>45958</v>
      </c>
      <c r="B511" s="16" t="s">
        <v>75</v>
      </c>
      <c r="C511" s="16" t="s">
        <v>1507</v>
      </c>
      <c r="D511" s="16" t="s">
        <v>1821</v>
      </c>
      <c r="E511" s="16" t="s">
        <v>41</v>
      </c>
      <c r="F511" s="16" t="s">
        <v>77</v>
      </c>
      <c r="G511" s="17" t="s">
        <v>1822</v>
      </c>
      <c r="H511" s="16"/>
    </row>
    <row r="512" spans="1:8" ht="31.5" hidden="1">
      <c r="A512" s="102">
        <v>45959</v>
      </c>
      <c r="B512" s="16" t="s">
        <v>75</v>
      </c>
      <c r="C512" s="16" t="s">
        <v>1823</v>
      </c>
      <c r="D512" s="16" t="s">
        <v>1824</v>
      </c>
      <c r="E512" s="16" t="s">
        <v>41</v>
      </c>
      <c r="F512" s="16" t="s">
        <v>71</v>
      </c>
      <c r="G512" s="17" t="s">
        <v>1825</v>
      </c>
      <c r="H512" s="16"/>
    </row>
    <row r="513" spans="1:8" ht="31.5" hidden="1">
      <c r="A513" s="102">
        <v>45959</v>
      </c>
      <c r="B513" s="16" t="s">
        <v>197</v>
      </c>
      <c r="C513" s="16" t="s">
        <v>532</v>
      </c>
      <c r="D513" s="16" t="s">
        <v>539</v>
      </c>
      <c r="E513" s="16" t="s">
        <v>41</v>
      </c>
      <c r="F513" s="16" t="s">
        <v>71</v>
      </c>
      <c r="G513" s="17" t="s">
        <v>1826</v>
      </c>
      <c r="H513" s="16"/>
    </row>
    <row r="514" spans="1:8" ht="47.25" hidden="1">
      <c r="A514" s="102">
        <v>45959</v>
      </c>
      <c r="B514" s="16" t="s">
        <v>75</v>
      </c>
      <c r="C514" s="16" t="s">
        <v>1827</v>
      </c>
      <c r="D514" s="16" t="s">
        <v>1828</v>
      </c>
      <c r="E514" s="16" t="s">
        <v>41</v>
      </c>
      <c r="F514" s="16" t="s">
        <v>71</v>
      </c>
      <c r="G514" s="17" t="s">
        <v>1829</v>
      </c>
      <c r="H514" s="16"/>
    </row>
    <row r="515" spans="1:8" ht="126" hidden="1">
      <c r="A515" s="102">
        <v>45959</v>
      </c>
      <c r="B515" s="16" t="s">
        <v>91</v>
      </c>
      <c r="C515" s="16" t="s">
        <v>1404</v>
      </c>
      <c r="D515" s="16" t="s">
        <v>1529</v>
      </c>
      <c r="E515" s="16" t="s">
        <v>41</v>
      </c>
      <c r="F515" s="16" t="s">
        <v>71</v>
      </c>
      <c r="G515" s="17" t="s">
        <v>1830</v>
      </c>
      <c r="H515" s="16"/>
    </row>
    <row r="516" spans="1:8" ht="63" hidden="1">
      <c r="A516" s="102">
        <v>45959</v>
      </c>
      <c r="B516" s="16" t="s">
        <v>91</v>
      </c>
      <c r="C516" s="16" t="s">
        <v>1783</v>
      </c>
      <c r="D516" s="16" t="s">
        <v>1534</v>
      </c>
      <c r="E516" s="16" t="s">
        <v>41</v>
      </c>
      <c r="F516" s="16" t="s">
        <v>71</v>
      </c>
      <c r="G516" s="17" t="s">
        <v>1831</v>
      </c>
      <c r="H516" s="16"/>
    </row>
    <row r="517" spans="1:8" ht="31.5" hidden="1">
      <c r="A517" s="102">
        <v>45959</v>
      </c>
      <c r="B517" s="16" t="s">
        <v>91</v>
      </c>
      <c r="C517" s="16" t="s">
        <v>1832</v>
      </c>
      <c r="D517" s="16" t="s">
        <v>1833</v>
      </c>
      <c r="E517" s="16" t="s">
        <v>41</v>
      </c>
      <c r="F517" s="16" t="s">
        <v>64</v>
      </c>
      <c r="G517" s="17" t="s">
        <v>1834</v>
      </c>
      <c r="H517" s="16"/>
    </row>
    <row r="518" spans="1:8" ht="157.5" hidden="1">
      <c r="A518" s="102">
        <v>45959</v>
      </c>
      <c r="B518" s="16" t="s">
        <v>91</v>
      </c>
      <c r="C518" s="16" t="s">
        <v>780</v>
      </c>
      <c r="D518" s="16" t="s">
        <v>1835</v>
      </c>
      <c r="E518" s="16" t="s">
        <v>41</v>
      </c>
      <c r="F518" s="16" t="s">
        <v>71</v>
      </c>
      <c r="G518" s="17" t="s">
        <v>1836</v>
      </c>
      <c r="H518" s="16"/>
    </row>
    <row r="519" spans="1:8" ht="47.25" hidden="1">
      <c r="A519" s="102">
        <v>45959</v>
      </c>
      <c r="B519" s="16" t="s">
        <v>75</v>
      </c>
      <c r="C519" s="16" t="s">
        <v>1837</v>
      </c>
      <c r="D519" s="16" t="s">
        <v>1534</v>
      </c>
      <c r="E519" s="16" t="s">
        <v>41</v>
      </c>
      <c r="F519" s="16" t="s">
        <v>71</v>
      </c>
      <c r="G519" s="17" t="s">
        <v>1838</v>
      </c>
      <c r="H519" s="16"/>
    </row>
    <row r="520" spans="1:8" ht="31.5" hidden="1">
      <c r="A520" s="102">
        <v>45959</v>
      </c>
      <c r="B520" s="16" t="s">
        <v>75</v>
      </c>
      <c r="C520" s="16" t="s">
        <v>979</v>
      </c>
      <c r="D520" s="16" t="s">
        <v>1578</v>
      </c>
      <c r="E520" s="16" t="s">
        <v>41</v>
      </c>
      <c r="F520" s="16" t="s">
        <v>64</v>
      </c>
      <c r="G520" s="17" t="s">
        <v>1839</v>
      </c>
      <c r="H520" s="16"/>
    </row>
    <row r="521" spans="1:8" ht="47.25" hidden="1">
      <c r="A521" s="102">
        <v>45959</v>
      </c>
      <c r="B521" s="16" t="s">
        <v>76</v>
      </c>
      <c r="C521" s="16" t="s">
        <v>1446</v>
      </c>
      <c r="D521" s="16" t="s">
        <v>1478</v>
      </c>
      <c r="E521" s="16" t="s">
        <v>41</v>
      </c>
      <c r="F521" s="16" t="s">
        <v>71</v>
      </c>
      <c r="G521" s="17" t="s">
        <v>1840</v>
      </c>
      <c r="H521" s="16"/>
    </row>
    <row r="522" spans="1:8" ht="47.25" hidden="1">
      <c r="A522" s="102">
        <v>45959</v>
      </c>
      <c r="B522" s="16" t="s">
        <v>197</v>
      </c>
      <c r="C522" s="16" t="s">
        <v>1314</v>
      </c>
      <c r="D522" s="16" t="s">
        <v>1841</v>
      </c>
      <c r="E522" s="16" t="s">
        <v>41</v>
      </c>
      <c r="F522" s="16" t="s">
        <v>64</v>
      </c>
      <c r="G522" s="17" t="s">
        <v>1842</v>
      </c>
      <c r="H522" s="16"/>
    </row>
    <row r="523" spans="1:8" hidden="1">
      <c r="A523" s="102">
        <v>45959</v>
      </c>
      <c r="B523" s="16" t="s">
        <v>75</v>
      </c>
      <c r="C523" s="16" t="s">
        <v>1843</v>
      </c>
      <c r="D523" s="16" t="s">
        <v>1439</v>
      </c>
      <c r="E523" s="16" t="s">
        <v>41</v>
      </c>
      <c r="F523" s="16" t="s">
        <v>77</v>
      </c>
      <c r="G523" s="17" t="s">
        <v>1385</v>
      </c>
      <c r="H523" s="16"/>
    </row>
    <row r="524" spans="1:8" ht="78.75" hidden="1">
      <c r="A524" s="102">
        <v>45959</v>
      </c>
      <c r="B524" s="16" t="s">
        <v>75</v>
      </c>
      <c r="C524" s="16" t="s">
        <v>1202</v>
      </c>
      <c r="D524" s="16" t="s">
        <v>1411</v>
      </c>
      <c r="E524" s="16" t="s">
        <v>41</v>
      </c>
      <c r="F524" s="16" t="s">
        <v>64</v>
      </c>
      <c r="G524" s="17" t="s">
        <v>1844</v>
      </c>
      <c r="H524" s="16"/>
    </row>
    <row r="525" spans="1:8" hidden="1">
      <c r="A525" s="102">
        <v>45959</v>
      </c>
      <c r="B525" s="16" t="s">
        <v>75</v>
      </c>
      <c r="C525" s="16" t="s">
        <v>1845</v>
      </c>
      <c r="D525" s="16" t="s">
        <v>1846</v>
      </c>
      <c r="E525" s="16" t="s">
        <v>41</v>
      </c>
      <c r="F525" s="16" t="s">
        <v>77</v>
      </c>
      <c r="G525" s="17" t="s">
        <v>1545</v>
      </c>
      <c r="H525" s="16"/>
    </row>
    <row r="526" spans="1:8" hidden="1">
      <c r="A526" s="102">
        <v>45959</v>
      </c>
      <c r="B526" s="16" t="s">
        <v>75</v>
      </c>
      <c r="C526" s="16" t="s">
        <v>1847</v>
      </c>
      <c r="D526" s="16" t="s">
        <v>1848</v>
      </c>
      <c r="E526" s="16" t="s">
        <v>41</v>
      </c>
      <c r="F526" s="16" t="s">
        <v>77</v>
      </c>
      <c r="G526" s="17" t="s">
        <v>1385</v>
      </c>
      <c r="H526" s="16"/>
    </row>
    <row r="527" spans="1:8" hidden="1">
      <c r="A527" s="102">
        <v>45959</v>
      </c>
      <c r="B527" s="16" t="s">
        <v>75</v>
      </c>
      <c r="C527" s="16" t="s">
        <v>1849</v>
      </c>
      <c r="D527" s="16" t="s">
        <v>1850</v>
      </c>
      <c r="E527" s="16" t="s">
        <v>41</v>
      </c>
      <c r="F527" s="16" t="s">
        <v>77</v>
      </c>
      <c r="G527" s="17" t="s">
        <v>1763</v>
      </c>
      <c r="H527" s="16"/>
    </row>
    <row r="528" spans="1:8" ht="31.5" hidden="1">
      <c r="A528" s="102">
        <v>45959</v>
      </c>
      <c r="B528" s="16" t="s">
        <v>75</v>
      </c>
      <c r="C528" s="16" t="s">
        <v>1244</v>
      </c>
      <c r="D528" s="16" t="s">
        <v>1851</v>
      </c>
      <c r="E528" s="16" t="s">
        <v>41</v>
      </c>
      <c r="F528" s="16" t="s">
        <v>64</v>
      </c>
      <c r="G528" s="17" t="s">
        <v>1852</v>
      </c>
      <c r="H528" s="16"/>
    </row>
    <row r="529" spans="1:8" hidden="1">
      <c r="A529" s="102">
        <v>45959</v>
      </c>
      <c r="B529" s="16" t="s">
        <v>91</v>
      </c>
      <c r="C529" s="16" t="s">
        <v>1790</v>
      </c>
      <c r="D529" s="16" t="s">
        <v>1791</v>
      </c>
      <c r="E529" s="16" t="s">
        <v>41</v>
      </c>
      <c r="F529" s="16" t="s">
        <v>77</v>
      </c>
      <c r="G529" s="17" t="s">
        <v>1385</v>
      </c>
      <c r="H529" s="16"/>
    </row>
    <row r="530" spans="1:8" ht="47.25" hidden="1">
      <c r="A530" s="102">
        <v>45959</v>
      </c>
      <c r="B530" s="16" t="s">
        <v>75</v>
      </c>
      <c r="C530" s="16" t="s">
        <v>561</v>
      </c>
      <c r="D530" s="16" t="s">
        <v>1853</v>
      </c>
      <c r="E530" s="16" t="s">
        <v>41</v>
      </c>
      <c r="F530" s="16" t="s">
        <v>77</v>
      </c>
      <c r="G530" s="17" t="s">
        <v>1854</v>
      </c>
      <c r="H530" s="16"/>
    </row>
    <row r="531" spans="1:8" hidden="1">
      <c r="A531" s="102">
        <v>45959</v>
      </c>
      <c r="B531" s="16" t="s">
        <v>197</v>
      </c>
      <c r="C531" s="16" t="s">
        <v>1256</v>
      </c>
      <c r="D531" s="16" t="s">
        <v>1257</v>
      </c>
      <c r="E531" s="16" t="s">
        <v>41</v>
      </c>
      <c r="F531" s="16" t="s">
        <v>77</v>
      </c>
      <c r="G531" s="17" t="s">
        <v>1385</v>
      </c>
      <c r="H531" s="16"/>
    </row>
    <row r="532" spans="1:8" ht="78.75" hidden="1">
      <c r="A532" s="102">
        <v>45960</v>
      </c>
      <c r="B532" s="16" t="s">
        <v>197</v>
      </c>
      <c r="C532" s="16" t="s">
        <v>533</v>
      </c>
      <c r="D532" s="16" t="s">
        <v>1626</v>
      </c>
      <c r="E532" s="16" t="s">
        <v>41</v>
      </c>
      <c r="F532" s="16" t="s">
        <v>71</v>
      </c>
      <c r="G532" s="17" t="s">
        <v>1855</v>
      </c>
      <c r="H532" s="16"/>
    </row>
    <row r="533" spans="1:8" hidden="1">
      <c r="A533" s="102">
        <v>45960</v>
      </c>
      <c r="B533" s="16" t="s">
        <v>91</v>
      </c>
      <c r="C533" s="16" t="s">
        <v>1856</v>
      </c>
      <c r="D533" s="16" t="s">
        <v>206</v>
      </c>
      <c r="E533" s="16" t="s">
        <v>41</v>
      </c>
      <c r="F533" s="16" t="s">
        <v>77</v>
      </c>
      <c r="G533" s="17" t="s">
        <v>1857</v>
      </c>
      <c r="H533" s="16"/>
    </row>
    <row r="534" spans="1:8" ht="47.25" hidden="1">
      <c r="A534" s="102">
        <v>45960</v>
      </c>
      <c r="B534" s="16" t="s">
        <v>76</v>
      </c>
      <c r="C534" s="16" t="s">
        <v>407</v>
      </c>
      <c r="D534" s="16" t="s">
        <v>1858</v>
      </c>
      <c r="E534" s="16" t="s">
        <v>41</v>
      </c>
      <c r="F534" s="16" t="s">
        <v>71</v>
      </c>
      <c r="G534" s="17" t="s">
        <v>1859</v>
      </c>
      <c r="H534" s="16"/>
    </row>
    <row r="535" spans="1:8" ht="47.25" hidden="1">
      <c r="A535" s="102">
        <v>45960</v>
      </c>
      <c r="B535" s="16" t="s">
        <v>197</v>
      </c>
      <c r="C535" s="16" t="s">
        <v>1202</v>
      </c>
      <c r="D535" s="16" t="s">
        <v>1860</v>
      </c>
      <c r="E535" s="16" t="s">
        <v>41</v>
      </c>
      <c r="F535" s="16" t="s">
        <v>71</v>
      </c>
      <c r="G535" s="17" t="s">
        <v>1861</v>
      </c>
      <c r="H535" s="16"/>
    </row>
    <row r="536" spans="1:8" ht="47.25" hidden="1">
      <c r="A536" s="102">
        <v>45960</v>
      </c>
      <c r="B536" s="16" t="s">
        <v>76</v>
      </c>
      <c r="C536" s="16" t="s">
        <v>414</v>
      </c>
      <c r="D536" s="16" t="s">
        <v>1692</v>
      </c>
      <c r="E536" s="16" t="s">
        <v>41</v>
      </c>
      <c r="F536" s="16" t="s">
        <v>77</v>
      </c>
      <c r="G536" s="17" t="s">
        <v>1862</v>
      </c>
      <c r="H536" s="16"/>
    </row>
    <row r="537" spans="1:8" hidden="1">
      <c r="A537" s="102">
        <v>45960</v>
      </c>
      <c r="B537" s="16" t="s">
        <v>76</v>
      </c>
      <c r="C537" s="16" t="s">
        <v>1560</v>
      </c>
      <c r="D537" s="16" t="s">
        <v>1707</v>
      </c>
      <c r="E537" s="16" t="s">
        <v>41</v>
      </c>
      <c r="F537" s="16" t="s">
        <v>77</v>
      </c>
      <c r="G537" s="17" t="s">
        <v>1385</v>
      </c>
      <c r="H537" s="16"/>
    </row>
    <row r="538" spans="1:8" hidden="1">
      <c r="A538" s="102">
        <v>45960</v>
      </c>
      <c r="B538" s="16" t="s">
        <v>91</v>
      </c>
      <c r="C538" s="16" t="s">
        <v>1790</v>
      </c>
      <c r="D538" s="16" t="s">
        <v>1791</v>
      </c>
      <c r="E538" s="16" t="s">
        <v>41</v>
      </c>
      <c r="F538" s="16" t="s">
        <v>77</v>
      </c>
      <c r="G538" s="17" t="s">
        <v>1385</v>
      </c>
      <c r="H538" s="16"/>
    </row>
    <row r="539" spans="1:8" hidden="1">
      <c r="A539" s="102">
        <v>45960</v>
      </c>
      <c r="B539" s="16" t="s">
        <v>75</v>
      </c>
      <c r="C539" s="16" t="s">
        <v>1818</v>
      </c>
      <c r="D539" s="16" t="s">
        <v>1422</v>
      </c>
      <c r="E539" s="16" t="s">
        <v>41</v>
      </c>
      <c r="F539" s="16" t="s">
        <v>77</v>
      </c>
      <c r="G539" s="17" t="s">
        <v>1385</v>
      </c>
      <c r="H539" s="16"/>
    </row>
    <row r="540" spans="1:8" ht="63" hidden="1">
      <c r="A540" s="102">
        <v>45960</v>
      </c>
      <c r="B540" s="16" t="s">
        <v>91</v>
      </c>
      <c r="C540" s="16" t="s">
        <v>1863</v>
      </c>
      <c r="D540" s="16" t="s">
        <v>1864</v>
      </c>
      <c r="E540" s="16" t="s">
        <v>41</v>
      </c>
      <c r="F540" s="16" t="s">
        <v>71</v>
      </c>
      <c r="G540" s="17" t="s">
        <v>1865</v>
      </c>
      <c r="H540" s="16"/>
    </row>
    <row r="541" spans="1:8" ht="63" hidden="1">
      <c r="A541" s="102">
        <v>45960</v>
      </c>
      <c r="B541" s="16" t="s">
        <v>75</v>
      </c>
      <c r="C541" s="16" t="s">
        <v>979</v>
      </c>
      <c r="D541" s="16" t="s">
        <v>1578</v>
      </c>
      <c r="E541" s="16" t="s">
        <v>41</v>
      </c>
      <c r="F541" s="16" t="s">
        <v>64</v>
      </c>
      <c r="G541" s="17" t="s">
        <v>1866</v>
      </c>
      <c r="H541" s="16"/>
    </row>
    <row r="542" spans="1:8" hidden="1">
      <c r="A542" s="102">
        <v>45960</v>
      </c>
      <c r="B542" s="16" t="s">
        <v>75</v>
      </c>
      <c r="C542" s="16" t="s">
        <v>1386</v>
      </c>
      <c r="D542" s="16" t="s">
        <v>1547</v>
      </c>
      <c r="E542" s="16" t="s">
        <v>41</v>
      </c>
      <c r="F542" s="16" t="s">
        <v>77</v>
      </c>
      <c r="G542" s="17" t="s">
        <v>1385</v>
      </c>
      <c r="H542" s="16"/>
    </row>
    <row r="543" spans="1:8" ht="63" hidden="1">
      <c r="A543" s="102">
        <v>45960</v>
      </c>
      <c r="B543" s="16" t="s">
        <v>76</v>
      </c>
      <c r="C543" s="16" t="s">
        <v>1560</v>
      </c>
      <c r="D543" s="16" t="s">
        <v>1707</v>
      </c>
      <c r="E543" s="16" t="s">
        <v>41</v>
      </c>
      <c r="F543" s="16" t="s">
        <v>71</v>
      </c>
      <c r="G543" s="17" t="s">
        <v>1867</v>
      </c>
      <c r="H543" s="16"/>
    </row>
    <row r="544" spans="1:8" hidden="1">
      <c r="A544" s="102">
        <v>45960</v>
      </c>
      <c r="B544" s="16" t="s">
        <v>75</v>
      </c>
      <c r="C544" s="16" t="s">
        <v>1589</v>
      </c>
      <c r="D544" s="16" t="s">
        <v>1315</v>
      </c>
      <c r="E544" s="16" t="s">
        <v>41</v>
      </c>
      <c r="F544" s="16" t="s">
        <v>77</v>
      </c>
      <c r="G544" s="17" t="s">
        <v>1385</v>
      </c>
      <c r="H544" s="16"/>
    </row>
    <row r="545" spans="1:8" hidden="1">
      <c r="A545" s="102">
        <v>45960</v>
      </c>
      <c r="B545" s="16" t="s">
        <v>75</v>
      </c>
      <c r="C545" s="16" t="s">
        <v>92</v>
      </c>
      <c r="D545" s="16" t="s">
        <v>1816</v>
      </c>
      <c r="E545" s="16" t="s">
        <v>41</v>
      </c>
      <c r="F545" s="16" t="s">
        <v>77</v>
      </c>
      <c r="G545" s="17" t="s">
        <v>1868</v>
      </c>
      <c r="H545" s="16"/>
    </row>
    <row r="546" spans="1:8" hidden="1">
      <c r="A546" s="102">
        <v>45960</v>
      </c>
      <c r="B546" s="16" t="s">
        <v>75</v>
      </c>
      <c r="C546" s="16" t="s">
        <v>1261</v>
      </c>
      <c r="D546" s="16" t="s">
        <v>1493</v>
      </c>
      <c r="E546" s="16" t="s">
        <v>41</v>
      </c>
      <c r="F546" s="16" t="s">
        <v>77</v>
      </c>
      <c r="G546" s="17" t="s">
        <v>1385</v>
      </c>
      <c r="H546" s="16"/>
    </row>
    <row r="547" spans="1:8" hidden="1">
      <c r="A547" s="102">
        <v>45960</v>
      </c>
      <c r="B547" s="16" t="s">
        <v>197</v>
      </c>
      <c r="C547" s="16" t="s">
        <v>1261</v>
      </c>
      <c r="D547" s="16" t="s">
        <v>1869</v>
      </c>
      <c r="E547" s="16" t="s">
        <v>41</v>
      </c>
      <c r="F547" s="16" t="s">
        <v>71</v>
      </c>
      <c r="G547" s="17" t="s">
        <v>1870</v>
      </c>
      <c r="H547" s="16"/>
    </row>
    <row r="548" spans="1:8" hidden="1">
      <c r="A548" s="102"/>
      <c r="B548" s="16"/>
      <c r="C548" s="16"/>
      <c r="D548" s="16"/>
      <c r="E548" s="16"/>
      <c r="F548" s="16"/>
      <c r="G548" s="17"/>
      <c r="H548" s="16"/>
    </row>
    <row r="549" spans="1:8" hidden="1">
      <c r="A549" s="102"/>
      <c r="B549" s="16"/>
      <c r="C549" s="16"/>
      <c r="D549" s="16"/>
      <c r="E549" s="16"/>
      <c r="F549" s="16"/>
      <c r="G549" s="17"/>
      <c r="H549" s="16"/>
    </row>
    <row r="550" spans="1:8" hidden="1"/>
    <row r="551" spans="1:8" hidden="1">
      <c r="A551" s="3" t="s">
        <v>70</v>
      </c>
      <c r="B551" s="4" t="s">
        <v>72</v>
      </c>
      <c r="C551" s="4" t="s">
        <v>16</v>
      </c>
      <c r="D551" s="34" t="s">
        <v>155</v>
      </c>
      <c r="E551" s="9" t="s">
        <v>156</v>
      </c>
      <c r="F551" s="10" t="s">
        <v>157</v>
      </c>
    </row>
    <row r="552" spans="1:8" hidden="1">
      <c r="A552" s="132" t="s">
        <v>63</v>
      </c>
      <c r="B552" s="99" t="s">
        <v>68</v>
      </c>
      <c r="C552" s="99">
        <v>17</v>
      </c>
      <c r="D552" s="99">
        <f>C552</f>
        <v>17</v>
      </c>
      <c r="E552" s="133">
        <f>D552+D554+D556</f>
        <v>20</v>
      </c>
      <c r="F552" s="134">
        <f>E552/12</f>
        <v>1.6666666666666667</v>
      </c>
    </row>
    <row r="553" spans="1:8" hidden="1">
      <c r="A553" s="122"/>
      <c r="B553" s="125" t="s">
        <v>65</v>
      </c>
      <c r="C553" s="125">
        <v>9</v>
      </c>
      <c r="D553" s="35" t="s">
        <v>158</v>
      </c>
      <c r="E553" s="123"/>
      <c r="F553" s="124"/>
    </row>
    <row r="554" spans="1:8" hidden="1">
      <c r="A554" s="122"/>
      <c r="B554" s="125"/>
      <c r="C554" s="125"/>
      <c r="D554" s="16">
        <f>C553/3</f>
        <v>3</v>
      </c>
      <c r="E554" s="123"/>
      <c r="F554" s="124"/>
    </row>
    <row r="555" spans="1:8" hidden="1">
      <c r="A555" s="122"/>
      <c r="B555" s="125" t="s">
        <v>69</v>
      </c>
      <c r="C555" s="125">
        <v>29</v>
      </c>
      <c r="D555" s="35" t="s">
        <v>159</v>
      </c>
      <c r="E555" s="123"/>
      <c r="F555" s="124"/>
    </row>
    <row r="556" spans="1:8" hidden="1">
      <c r="A556" s="122"/>
      <c r="B556" s="125"/>
      <c r="C556" s="125"/>
      <c r="D556" s="16">
        <v>0</v>
      </c>
      <c r="E556" s="123"/>
      <c r="F556" s="124"/>
    </row>
    <row r="557" spans="1:8" hidden="1">
      <c r="A557" s="36" t="s">
        <v>70</v>
      </c>
      <c r="B557" s="37" t="s">
        <v>72</v>
      </c>
      <c r="C557" s="37" t="s">
        <v>16</v>
      </c>
      <c r="D557" s="126" t="s">
        <v>160</v>
      </c>
      <c r="E557" s="126"/>
      <c r="F557" s="127"/>
    </row>
    <row r="558" spans="1:8" hidden="1">
      <c r="A558" s="122" t="s">
        <v>62</v>
      </c>
      <c r="B558" s="16" t="s">
        <v>68</v>
      </c>
      <c r="C558" s="16"/>
      <c r="D558" s="129">
        <f>C558/9</f>
        <v>0</v>
      </c>
      <c r="E558" s="129"/>
      <c r="F558" s="124"/>
    </row>
    <row r="559" spans="1:8" ht="16.5" hidden="1" thickBot="1">
      <c r="A559" s="128"/>
      <c r="B559" s="20" t="s">
        <v>69</v>
      </c>
      <c r="C559" s="20"/>
      <c r="D559" s="130"/>
      <c r="E559" s="130"/>
      <c r="F559" s="131"/>
    </row>
    <row r="560" spans="1:8" hidden="1"/>
    <row r="561" spans="1:8" hidden="1">
      <c r="A561" t="s">
        <v>1871</v>
      </c>
    </row>
    <row r="562" spans="1:8" hidden="1">
      <c r="A562" s="37" t="s">
        <v>58</v>
      </c>
      <c r="B562" s="37" t="s">
        <v>67</v>
      </c>
      <c r="C562" s="37" t="s">
        <v>3</v>
      </c>
      <c r="D562" s="37" t="s">
        <v>57</v>
      </c>
      <c r="E562" s="37" t="s">
        <v>59</v>
      </c>
      <c r="F562" s="37" t="s">
        <v>61</v>
      </c>
      <c r="G562" s="37" t="s">
        <v>60</v>
      </c>
      <c r="H562" s="37" t="s">
        <v>66</v>
      </c>
    </row>
    <row r="563" spans="1:8" ht="47.25" hidden="1">
      <c r="A563" s="102">
        <v>45964</v>
      </c>
      <c r="B563" s="16" t="s">
        <v>197</v>
      </c>
      <c r="C563" s="16" t="s">
        <v>1202</v>
      </c>
      <c r="D563" s="16" t="s">
        <v>1872</v>
      </c>
      <c r="E563" s="16" t="s">
        <v>41</v>
      </c>
      <c r="F563" s="16" t="s">
        <v>71</v>
      </c>
      <c r="G563" s="17" t="s">
        <v>1873</v>
      </c>
      <c r="H563" s="16"/>
    </row>
    <row r="564" spans="1:8" ht="47.25" hidden="1">
      <c r="A564" s="102">
        <v>45964</v>
      </c>
      <c r="B564" s="16" t="s">
        <v>197</v>
      </c>
      <c r="C564" s="16" t="s">
        <v>1356</v>
      </c>
      <c r="D564" s="16" t="s">
        <v>539</v>
      </c>
      <c r="E564" s="16" t="s">
        <v>41</v>
      </c>
      <c r="F564" s="16" t="s">
        <v>77</v>
      </c>
      <c r="G564" s="17" t="s">
        <v>1874</v>
      </c>
      <c r="H564" s="16"/>
    </row>
    <row r="565" spans="1:8" ht="63" hidden="1">
      <c r="A565" s="102">
        <v>45964</v>
      </c>
      <c r="B565" s="16" t="s">
        <v>197</v>
      </c>
      <c r="C565" s="16" t="s">
        <v>1261</v>
      </c>
      <c r="D565" s="16" t="s">
        <v>1875</v>
      </c>
      <c r="E565" s="16" t="s">
        <v>41</v>
      </c>
      <c r="F565" s="16" t="s">
        <v>77</v>
      </c>
      <c r="G565" s="17" t="s">
        <v>1876</v>
      </c>
      <c r="H565" s="16"/>
    </row>
    <row r="566" spans="1:8" ht="31.5" hidden="1">
      <c r="A566" s="102">
        <v>45964</v>
      </c>
      <c r="B566" s="16" t="s">
        <v>76</v>
      </c>
      <c r="C566" s="16" t="s">
        <v>881</v>
      </c>
      <c r="D566" s="16" t="s">
        <v>1573</v>
      </c>
      <c r="E566" s="16" t="s">
        <v>41</v>
      </c>
      <c r="F566" s="16" t="s">
        <v>64</v>
      </c>
      <c r="G566" s="17" t="s">
        <v>1877</v>
      </c>
      <c r="H566" s="16"/>
    </row>
    <row r="567" spans="1:8" ht="47.25" hidden="1">
      <c r="A567" s="102">
        <v>45964</v>
      </c>
      <c r="B567" s="16" t="s">
        <v>91</v>
      </c>
      <c r="C567" s="16" t="s">
        <v>1878</v>
      </c>
      <c r="D567" s="16" t="s">
        <v>1879</v>
      </c>
      <c r="E567" s="16" t="s">
        <v>41</v>
      </c>
      <c r="F567" s="16" t="s">
        <v>64</v>
      </c>
      <c r="G567" s="17" t="s">
        <v>1880</v>
      </c>
      <c r="H567" s="16"/>
    </row>
    <row r="568" spans="1:8" hidden="1">
      <c r="A568" s="102">
        <v>45964</v>
      </c>
      <c r="B568" s="16" t="s">
        <v>197</v>
      </c>
      <c r="C568" s="16" t="s">
        <v>1247</v>
      </c>
      <c r="D568" s="16" t="s">
        <v>1795</v>
      </c>
      <c r="E568" s="16" t="s">
        <v>41</v>
      </c>
      <c r="F568" s="16" t="s">
        <v>77</v>
      </c>
      <c r="G568" s="17" t="s">
        <v>1881</v>
      </c>
      <c r="H568" s="16"/>
    </row>
    <row r="569" spans="1:8" ht="63" hidden="1">
      <c r="A569" s="102">
        <v>45964</v>
      </c>
      <c r="B569" s="16" t="s">
        <v>75</v>
      </c>
      <c r="C569" s="16" t="s">
        <v>979</v>
      </c>
      <c r="D569" s="16" t="s">
        <v>1578</v>
      </c>
      <c r="E569" s="16" t="s">
        <v>41</v>
      </c>
      <c r="F569" s="16" t="s">
        <v>64</v>
      </c>
      <c r="G569" s="17" t="s">
        <v>1882</v>
      </c>
      <c r="H569" s="16"/>
    </row>
    <row r="570" spans="1:8" ht="78.75" hidden="1">
      <c r="A570" s="102">
        <v>45964</v>
      </c>
      <c r="B570" s="16" t="s">
        <v>197</v>
      </c>
      <c r="C570" s="16" t="s">
        <v>532</v>
      </c>
      <c r="D570" s="16" t="s">
        <v>539</v>
      </c>
      <c r="E570" s="16" t="s">
        <v>41</v>
      </c>
      <c r="F570" s="16" t="s">
        <v>77</v>
      </c>
      <c r="G570" s="17" t="s">
        <v>1883</v>
      </c>
      <c r="H570" s="16"/>
    </row>
    <row r="571" spans="1:8" ht="78.75" hidden="1">
      <c r="A571" s="102">
        <v>45966</v>
      </c>
      <c r="B571" s="16" t="s">
        <v>75</v>
      </c>
      <c r="C571" s="16" t="s">
        <v>1823</v>
      </c>
      <c r="D571" s="16" t="s">
        <v>1884</v>
      </c>
      <c r="E571" s="16" t="s">
        <v>40</v>
      </c>
      <c r="F571" s="16" t="s">
        <v>71</v>
      </c>
      <c r="G571" s="17" t="s">
        <v>1885</v>
      </c>
      <c r="H571" s="16"/>
    </row>
    <row r="572" spans="1:8" ht="78.75" hidden="1">
      <c r="A572" s="102">
        <v>45966</v>
      </c>
      <c r="B572" s="16" t="s">
        <v>91</v>
      </c>
      <c r="C572" s="16" t="s">
        <v>1528</v>
      </c>
      <c r="D572" s="16" t="s">
        <v>1529</v>
      </c>
      <c r="E572" s="16" t="s">
        <v>40</v>
      </c>
      <c r="F572" s="16" t="s">
        <v>71</v>
      </c>
      <c r="G572" s="17" t="s">
        <v>1886</v>
      </c>
      <c r="H572" s="16"/>
    </row>
    <row r="573" spans="1:8" ht="204.75" hidden="1">
      <c r="A573" s="102">
        <v>45966</v>
      </c>
      <c r="B573" s="16" t="s">
        <v>75</v>
      </c>
      <c r="C573" s="16" t="s">
        <v>1887</v>
      </c>
      <c r="D573" s="16" t="s">
        <v>1888</v>
      </c>
      <c r="E573" s="16" t="s">
        <v>40</v>
      </c>
      <c r="F573" s="16" t="s">
        <v>71</v>
      </c>
      <c r="G573" s="17" t="s">
        <v>1889</v>
      </c>
      <c r="H573" s="16"/>
    </row>
    <row r="574" spans="1:8" hidden="1">
      <c r="A574" s="102">
        <v>45966</v>
      </c>
      <c r="B574" s="16" t="s">
        <v>91</v>
      </c>
      <c r="C574" s="16" t="s">
        <v>1790</v>
      </c>
      <c r="D574" s="16" t="s">
        <v>1890</v>
      </c>
      <c r="E574" s="16" t="s">
        <v>41</v>
      </c>
      <c r="F574" s="16" t="s">
        <v>77</v>
      </c>
      <c r="G574" s="17" t="s">
        <v>1385</v>
      </c>
      <c r="H574" s="16"/>
    </row>
    <row r="575" spans="1:8" hidden="1">
      <c r="A575" s="102">
        <v>45966</v>
      </c>
      <c r="B575" s="16" t="s">
        <v>197</v>
      </c>
      <c r="C575" s="16" t="s">
        <v>1268</v>
      </c>
      <c r="D575" s="16" t="s">
        <v>1799</v>
      </c>
      <c r="E575" s="16" t="s">
        <v>41</v>
      </c>
      <c r="F575" s="16" t="s">
        <v>77</v>
      </c>
      <c r="G575" s="17" t="s">
        <v>1385</v>
      </c>
      <c r="H575" s="16"/>
    </row>
    <row r="576" spans="1:8" ht="31.5" hidden="1">
      <c r="A576" s="102">
        <v>45966</v>
      </c>
      <c r="B576" s="16" t="s">
        <v>197</v>
      </c>
      <c r="C576" s="16" t="s">
        <v>1247</v>
      </c>
      <c r="D576" s="16" t="s">
        <v>1248</v>
      </c>
      <c r="E576" s="16" t="s">
        <v>41</v>
      </c>
      <c r="F576" s="16" t="s">
        <v>64</v>
      </c>
      <c r="G576" s="17" t="s">
        <v>1891</v>
      </c>
      <c r="H576" s="16"/>
    </row>
    <row r="577" spans="1:8" hidden="1">
      <c r="A577" s="102">
        <v>45966</v>
      </c>
      <c r="B577" s="16" t="s">
        <v>91</v>
      </c>
      <c r="C577" s="16" t="s">
        <v>1892</v>
      </c>
      <c r="D577" s="16" t="s">
        <v>1833</v>
      </c>
      <c r="E577" s="16" t="s">
        <v>41</v>
      </c>
      <c r="F577" s="16" t="s">
        <v>77</v>
      </c>
      <c r="G577" s="17" t="s">
        <v>1893</v>
      </c>
      <c r="H577" s="16"/>
    </row>
    <row r="578" spans="1:8" ht="78.75" hidden="1">
      <c r="A578" s="102">
        <v>45967</v>
      </c>
      <c r="B578" s="16" t="s">
        <v>91</v>
      </c>
      <c r="C578" s="16" t="s">
        <v>1894</v>
      </c>
      <c r="D578" s="16" t="s">
        <v>1895</v>
      </c>
      <c r="E578" s="16" t="s">
        <v>40</v>
      </c>
      <c r="F578" s="16" t="s">
        <v>71</v>
      </c>
      <c r="G578" s="17" t="s">
        <v>1896</v>
      </c>
      <c r="H578" s="16"/>
    </row>
    <row r="579" spans="1:8" ht="47.25" hidden="1">
      <c r="A579" s="102">
        <v>45967</v>
      </c>
      <c r="B579" s="16" t="s">
        <v>91</v>
      </c>
      <c r="C579" s="16" t="s">
        <v>1793</v>
      </c>
      <c r="D579" s="16" t="s">
        <v>1897</v>
      </c>
      <c r="E579" s="16" t="s">
        <v>41</v>
      </c>
      <c r="F579" s="17" t="s">
        <v>64</v>
      </c>
      <c r="G579" s="43" t="s">
        <v>1898</v>
      </c>
      <c r="H579" s="16"/>
    </row>
    <row r="580" spans="1:8" ht="31.5" hidden="1">
      <c r="A580" s="102">
        <v>45967</v>
      </c>
      <c r="B580" s="16" t="s">
        <v>75</v>
      </c>
      <c r="C580" s="16" t="s">
        <v>1837</v>
      </c>
      <c r="D580" s="16" t="s">
        <v>1899</v>
      </c>
      <c r="E580" s="16" t="s">
        <v>41</v>
      </c>
      <c r="F580" s="16" t="s">
        <v>64</v>
      </c>
      <c r="G580" s="17" t="s">
        <v>1900</v>
      </c>
      <c r="H580" s="16"/>
    </row>
    <row r="581" spans="1:8" ht="31.5" hidden="1">
      <c r="A581" s="102">
        <v>45967</v>
      </c>
      <c r="B581" s="16" t="s">
        <v>197</v>
      </c>
      <c r="C581" s="16" t="s">
        <v>533</v>
      </c>
      <c r="D581" s="16" t="s">
        <v>1626</v>
      </c>
      <c r="E581" s="16" t="s">
        <v>41</v>
      </c>
      <c r="F581" s="16" t="s">
        <v>64</v>
      </c>
      <c r="G581" s="17" t="s">
        <v>1901</v>
      </c>
      <c r="H581" s="16"/>
    </row>
    <row r="582" spans="1:8" ht="31.5" hidden="1">
      <c r="A582" s="102">
        <v>45967</v>
      </c>
      <c r="B582" s="16" t="s">
        <v>197</v>
      </c>
      <c r="C582" s="16" t="s">
        <v>1442</v>
      </c>
      <c r="D582" s="16" t="s">
        <v>1902</v>
      </c>
      <c r="E582" s="16" t="s">
        <v>41</v>
      </c>
      <c r="F582" s="16" t="s">
        <v>77</v>
      </c>
      <c r="G582" s="17" t="s">
        <v>1903</v>
      </c>
      <c r="H582" s="16"/>
    </row>
    <row r="583" spans="1:8" ht="47.25" hidden="1">
      <c r="A583" s="102">
        <v>45967</v>
      </c>
      <c r="B583" s="16" t="s">
        <v>197</v>
      </c>
      <c r="C583" s="16" t="s">
        <v>1314</v>
      </c>
      <c r="D583" s="16" t="s">
        <v>1315</v>
      </c>
      <c r="E583" s="16" t="s">
        <v>41</v>
      </c>
      <c r="F583" s="16" t="s">
        <v>64</v>
      </c>
      <c r="G583" s="17" t="s">
        <v>1904</v>
      </c>
      <c r="H583" s="16"/>
    </row>
    <row r="584" spans="1:8" ht="78.75" hidden="1">
      <c r="A584" s="102">
        <v>45967</v>
      </c>
      <c r="B584" s="16" t="s">
        <v>91</v>
      </c>
      <c r="C584" s="16" t="s">
        <v>1905</v>
      </c>
      <c r="D584" s="16" t="s">
        <v>1906</v>
      </c>
      <c r="E584" s="16" t="s">
        <v>41</v>
      </c>
      <c r="F584" s="16" t="s">
        <v>64</v>
      </c>
      <c r="G584" s="17" t="s">
        <v>1907</v>
      </c>
      <c r="H584" s="16"/>
    </row>
    <row r="585" spans="1:8" hidden="1">
      <c r="A585" s="102">
        <v>45967</v>
      </c>
      <c r="B585" s="16" t="s">
        <v>91</v>
      </c>
      <c r="C585" s="16" t="s">
        <v>780</v>
      </c>
      <c r="D585" s="16" t="s">
        <v>1835</v>
      </c>
      <c r="E585" s="16" t="s">
        <v>41</v>
      </c>
      <c r="F585" s="16" t="s">
        <v>77</v>
      </c>
      <c r="G585" s="17" t="s">
        <v>1908</v>
      </c>
      <c r="H585" s="16"/>
    </row>
    <row r="586" spans="1:8" ht="47.25" hidden="1">
      <c r="A586" s="102">
        <v>45967</v>
      </c>
      <c r="B586" s="16" t="s">
        <v>197</v>
      </c>
      <c r="C586" s="16" t="s">
        <v>407</v>
      </c>
      <c r="D586" s="16" t="s">
        <v>423</v>
      </c>
      <c r="E586" s="16" t="s">
        <v>41</v>
      </c>
      <c r="F586" s="16" t="s">
        <v>64</v>
      </c>
      <c r="G586" s="17" t="s">
        <v>1909</v>
      </c>
      <c r="H586" s="16"/>
    </row>
    <row r="587" spans="1:8" hidden="1">
      <c r="A587" s="102">
        <v>45967</v>
      </c>
      <c r="B587" s="16" t="s">
        <v>197</v>
      </c>
      <c r="C587" s="16" t="s">
        <v>1646</v>
      </c>
      <c r="D587" s="16" t="s">
        <v>1605</v>
      </c>
      <c r="E587" s="16" t="s">
        <v>41</v>
      </c>
      <c r="F587" s="16" t="s">
        <v>77</v>
      </c>
      <c r="G587" s="17" t="s">
        <v>1761</v>
      </c>
      <c r="H587" s="16"/>
    </row>
    <row r="588" spans="1:8" ht="31.5" hidden="1">
      <c r="A588" s="102">
        <v>45967</v>
      </c>
      <c r="B588" s="16" t="s">
        <v>197</v>
      </c>
      <c r="C588" s="16" t="s">
        <v>1910</v>
      </c>
      <c r="D588" s="16" t="s">
        <v>1911</v>
      </c>
      <c r="E588" s="16" t="s">
        <v>41</v>
      </c>
      <c r="F588" s="16" t="s">
        <v>64</v>
      </c>
      <c r="G588" s="17" t="s">
        <v>1912</v>
      </c>
      <c r="H588" s="16"/>
    </row>
    <row r="589" spans="1:8" ht="47.25" hidden="1">
      <c r="A589" s="102">
        <v>45967</v>
      </c>
      <c r="B589" s="16" t="s">
        <v>197</v>
      </c>
      <c r="C589" s="16" t="s">
        <v>362</v>
      </c>
      <c r="D589" s="16" t="s">
        <v>421</v>
      </c>
      <c r="E589" s="16" t="s">
        <v>41</v>
      </c>
      <c r="F589" s="16" t="s">
        <v>77</v>
      </c>
      <c r="G589" s="17" t="s">
        <v>1913</v>
      </c>
      <c r="H589" s="16"/>
    </row>
    <row r="590" spans="1:8" ht="173.25" hidden="1">
      <c r="A590" s="102">
        <v>45968</v>
      </c>
      <c r="B590" s="16" t="s">
        <v>75</v>
      </c>
      <c r="C590" s="16" t="s">
        <v>1233</v>
      </c>
      <c r="D590" s="16" t="s">
        <v>1242</v>
      </c>
      <c r="E590" s="16" t="s">
        <v>40</v>
      </c>
      <c r="F590" s="16" t="s">
        <v>71</v>
      </c>
      <c r="G590" s="17" t="s">
        <v>1914</v>
      </c>
      <c r="H590" s="16"/>
    </row>
    <row r="591" spans="1:8" hidden="1">
      <c r="A591" s="102">
        <v>45968</v>
      </c>
      <c r="B591" s="16" t="s">
        <v>91</v>
      </c>
      <c r="C591" s="16" t="s">
        <v>1790</v>
      </c>
      <c r="D591" s="16" t="s">
        <v>1890</v>
      </c>
      <c r="E591" s="16" t="s">
        <v>41</v>
      </c>
      <c r="F591" s="16" t="s">
        <v>77</v>
      </c>
      <c r="G591" s="17" t="s">
        <v>1385</v>
      </c>
      <c r="H591" s="16"/>
    </row>
    <row r="592" spans="1:8" ht="31.5" hidden="1">
      <c r="A592" s="102">
        <v>45968</v>
      </c>
      <c r="B592" s="16" t="s">
        <v>75</v>
      </c>
      <c r="C592" s="16" t="s">
        <v>1837</v>
      </c>
      <c r="D592" s="16" t="s">
        <v>1915</v>
      </c>
      <c r="E592" s="16" t="s">
        <v>41</v>
      </c>
      <c r="F592" s="16" t="s">
        <v>64</v>
      </c>
      <c r="G592" s="17" t="s">
        <v>1916</v>
      </c>
      <c r="H592" s="16"/>
    </row>
    <row r="593" spans="1:8" ht="31.5" hidden="1">
      <c r="A593" s="102">
        <v>45968</v>
      </c>
      <c r="B593" s="16" t="s">
        <v>75</v>
      </c>
      <c r="C593" s="16" t="s">
        <v>1917</v>
      </c>
      <c r="D593" s="16" t="s">
        <v>1918</v>
      </c>
      <c r="E593" s="16" t="s">
        <v>41</v>
      </c>
      <c r="F593" s="16" t="s">
        <v>64</v>
      </c>
      <c r="G593" s="17" t="s">
        <v>1919</v>
      </c>
      <c r="H593" s="16"/>
    </row>
    <row r="594" spans="1:8" hidden="1">
      <c r="A594" s="102"/>
      <c r="B594" s="16"/>
      <c r="C594" s="16"/>
      <c r="D594" s="16"/>
      <c r="E594" s="16"/>
      <c r="F594" s="16"/>
      <c r="G594" s="17"/>
      <c r="H594" s="16"/>
    </row>
    <row r="595" spans="1:8" hidden="1">
      <c r="A595" s="102"/>
      <c r="B595" s="16"/>
      <c r="C595" s="16"/>
      <c r="D595" s="16"/>
      <c r="E595" s="16"/>
      <c r="F595" s="16"/>
      <c r="G595" s="17"/>
      <c r="H595" s="16"/>
    </row>
    <row r="596" spans="1:8" hidden="1">
      <c r="A596" s="102"/>
      <c r="B596" s="16"/>
      <c r="C596" s="16"/>
      <c r="D596" s="16"/>
      <c r="E596" s="16"/>
      <c r="F596" s="16"/>
      <c r="G596" s="17"/>
      <c r="H596" s="16"/>
    </row>
    <row r="597" spans="1:8" hidden="1">
      <c r="A597" s="102"/>
      <c r="B597" s="16"/>
      <c r="C597" s="16"/>
      <c r="D597" s="16"/>
      <c r="E597" s="16"/>
      <c r="F597" s="16"/>
      <c r="G597" s="17"/>
      <c r="H597" s="16"/>
    </row>
    <row r="598" spans="1:8" hidden="1">
      <c r="A598" s="102"/>
      <c r="B598" s="16"/>
      <c r="C598" s="16"/>
      <c r="D598" s="16"/>
      <c r="E598" s="16"/>
      <c r="F598" s="16"/>
      <c r="G598" s="17"/>
      <c r="H598" s="16"/>
    </row>
    <row r="599" spans="1:8" hidden="1">
      <c r="A599" s="102"/>
      <c r="B599" s="16"/>
      <c r="C599" s="16"/>
      <c r="D599" s="16"/>
      <c r="E599" s="16"/>
      <c r="F599" s="16"/>
      <c r="G599" s="17"/>
      <c r="H599" s="16"/>
    </row>
    <row r="600" spans="1:8" hidden="1"/>
    <row r="601" spans="1:8" hidden="1">
      <c r="A601" s="3" t="s">
        <v>70</v>
      </c>
      <c r="B601" s="4" t="s">
        <v>72</v>
      </c>
      <c r="C601" s="4" t="s">
        <v>16</v>
      </c>
      <c r="D601" s="34" t="s">
        <v>155</v>
      </c>
      <c r="E601" s="9" t="s">
        <v>156</v>
      </c>
      <c r="F601" s="10" t="s">
        <v>157</v>
      </c>
    </row>
    <row r="602" spans="1:8" hidden="1">
      <c r="A602" s="132" t="s">
        <v>63</v>
      </c>
      <c r="B602" s="99" t="s">
        <v>68</v>
      </c>
      <c r="C602" s="99">
        <v>1</v>
      </c>
      <c r="D602" s="99">
        <f>C602</f>
        <v>1</v>
      </c>
      <c r="E602" s="133">
        <f>D602+D604+D606</f>
        <v>5.333333333333333</v>
      </c>
      <c r="F602" s="134">
        <f>E602/12</f>
        <v>0.44444444444444442</v>
      </c>
    </row>
    <row r="603" spans="1:8" hidden="1">
      <c r="A603" s="122"/>
      <c r="B603" s="125" t="s">
        <v>65</v>
      </c>
      <c r="C603" s="125">
        <v>13</v>
      </c>
      <c r="D603" s="35" t="s">
        <v>158</v>
      </c>
      <c r="E603" s="123"/>
      <c r="F603" s="124"/>
    </row>
    <row r="604" spans="1:8" hidden="1">
      <c r="A604" s="122"/>
      <c r="B604" s="125"/>
      <c r="C604" s="125"/>
      <c r="D604" s="16">
        <f>C603/3</f>
        <v>4.333333333333333</v>
      </c>
      <c r="E604" s="123"/>
      <c r="F604" s="124"/>
    </row>
    <row r="605" spans="1:8" hidden="1">
      <c r="A605" s="122"/>
      <c r="B605" s="125" t="s">
        <v>69</v>
      </c>
      <c r="C605" s="125">
        <v>12</v>
      </c>
      <c r="D605" s="35" t="s">
        <v>159</v>
      </c>
      <c r="E605" s="123"/>
      <c r="F605" s="124"/>
    </row>
    <row r="606" spans="1:8" hidden="1">
      <c r="A606" s="122"/>
      <c r="B606" s="125"/>
      <c r="C606" s="125"/>
      <c r="D606" s="16">
        <v>0</v>
      </c>
      <c r="E606" s="123"/>
      <c r="F606" s="124"/>
    </row>
    <row r="607" spans="1:8" hidden="1">
      <c r="A607" s="36" t="s">
        <v>70</v>
      </c>
      <c r="B607" s="37" t="s">
        <v>72</v>
      </c>
      <c r="C607" s="37" t="s">
        <v>16</v>
      </c>
      <c r="D607" s="126" t="s">
        <v>160</v>
      </c>
      <c r="E607" s="126"/>
      <c r="F607" s="127"/>
    </row>
    <row r="608" spans="1:8" hidden="1">
      <c r="A608" s="122" t="s">
        <v>62</v>
      </c>
      <c r="B608" s="16" t="s">
        <v>68</v>
      </c>
      <c r="C608" s="16">
        <v>5</v>
      </c>
      <c r="D608" s="129">
        <f>C608/9</f>
        <v>0.55555555555555558</v>
      </c>
      <c r="E608" s="129"/>
      <c r="F608" s="124"/>
    </row>
    <row r="609" spans="1:8" ht="16.5" hidden="1" thickBot="1">
      <c r="A609" s="128"/>
      <c r="B609" s="20" t="s">
        <v>69</v>
      </c>
      <c r="C609" s="20">
        <v>0</v>
      </c>
      <c r="D609" s="130"/>
      <c r="E609" s="130"/>
      <c r="F609" s="131"/>
    </row>
    <row r="610" spans="1:8" hidden="1"/>
    <row r="611" spans="1:8" hidden="1">
      <c r="A611" t="s">
        <v>1920</v>
      </c>
    </row>
    <row r="612" spans="1:8" hidden="1">
      <c r="A612" s="37" t="s">
        <v>58</v>
      </c>
      <c r="B612" s="37" t="s">
        <v>67</v>
      </c>
      <c r="C612" s="37" t="s">
        <v>3</v>
      </c>
      <c r="D612" s="37" t="s">
        <v>57</v>
      </c>
      <c r="E612" s="37" t="s">
        <v>59</v>
      </c>
      <c r="F612" s="37" t="s">
        <v>61</v>
      </c>
      <c r="G612" s="37" t="s">
        <v>60</v>
      </c>
      <c r="H612" s="37" t="s">
        <v>66</v>
      </c>
    </row>
    <row r="613" spans="1:8" ht="47.25" hidden="1">
      <c r="A613" s="102">
        <v>45971</v>
      </c>
      <c r="B613" s="16" t="s">
        <v>76</v>
      </c>
      <c r="C613" s="16" t="s">
        <v>362</v>
      </c>
      <c r="D613" s="16" t="s">
        <v>421</v>
      </c>
      <c r="E613" s="16" t="s">
        <v>41</v>
      </c>
      <c r="F613" s="16" t="s">
        <v>77</v>
      </c>
      <c r="G613" s="17" t="s">
        <v>1921</v>
      </c>
      <c r="H613" s="16"/>
    </row>
    <row r="614" spans="1:8" ht="47.25" hidden="1">
      <c r="A614" s="102">
        <v>45971</v>
      </c>
      <c r="B614" s="16" t="s">
        <v>76</v>
      </c>
      <c r="C614" s="16" t="s">
        <v>881</v>
      </c>
      <c r="D614" s="16" t="s">
        <v>1573</v>
      </c>
      <c r="E614" s="16" t="s">
        <v>41</v>
      </c>
      <c r="F614" s="16" t="s">
        <v>64</v>
      </c>
      <c r="G614" s="17" t="s">
        <v>1922</v>
      </c>
      <c r="H614" s="16"/>
    </row>
    <row r="615" spans="1:8" ht="31.5" hidden="1">
      <c r="A615" s="102">
        <v>45971</v>
      </c>
      <c r="B615" s="16" t="s">
        <v>197</v>
      </c>
      <c r="C615" s="16" t="s">
        <v>533</v>
      </c>
      <c r="D615" s="16" t="s">
        <v>1626</v>
      </c>
      <c r="E615" s="16" t="s">
        <v>41</v>
      </c>
      <c r="F615" s="16" t="s">
        <v>64</v>
      </c>
      <c r="G615" s="17" t="s">
        <v>1923</v>
      </c>
      <c r="H615" s="16"/>
    </row>
    <row r="616" spans="1:8" hidden="1">
      <c r="A616" s="102">
        <v>45971</v>
      </c>
      <c r="B616" s="16" t="s">
        <v>91</v>
      </c>
      <c r="C616" s="16" t="s">
        <v>889</v>
      </c>
      <c r="D616" s="16" t="s">
        <v>1924</v>
      </c>
      <c r="E616" s="16" t="s">
        <v>41</v>
      </c>
      <c r="F616" s="16" t="s">
        <v>64</v>
      </c>
      <c r="G616" s="17" t="s">
        <v>1925</v>
      </c>
      <c r="H616" s="16"/>
    </row>
    <row r="617" spans="1:8" ht="47.25" hidden="1">
      <c r="A617" s="102">
        <v>45971</v>
      </c>
      <c r="B617" s="16" t="s">
        <v>197</v>
      </c>
      <c r="C617" s="16" t="s">
        <v>1314</v>
      </c>
      <c r="D617" s="16" t="s">
        <v>1315</v>
      </c>
      <c r="E617" s="16" t="s">
        <v>41</v>
      </c>
      <c r="F617" s="16" t="s">
        <v>64</v>
      </c>
      <c r="G617" s="17" t="s">
        <v>1926</v>
      </c>
      <c r="H617" s="16"/>
    </row>
    <row r="618" spans="1:8" ht="31.5" hidden="1">
      <c r="A618" s="102">
        <v>45971</v>
      </c>
      <c r="B618" s="16" t="s">
        <v>91</v>
      </c>
      <c r="C618" s="16" t="s">
        <v>1905</v>
      </c>
      <c r="D618" s="16" t="s">
        <v>1906</v>
      </c>
      <c r="E618" s="16" t="s">
        <v>41</v>
      </c>
      <c r="F618" s="16" t="s">
        <v>64</v>
      </c>
      <c r="G618" s="17" t="s">
        <v>1927</v>
      </c>
      <c r="H618" s="16"/>
    </row>
    <row r="619" spans="1:8" ht="31.5" hidden="1">
      <c r="A619" s="102">
        <v>45971</v>
      </c>
      <c r="B619" s="16" t="s">
        <v>91</v>
      </c>
      <c r="C619" s="16" t="s">
        <v>780</v>
      </c>
      <c r="D619" s="16" t="s">
        <v>1835</v>
      </c>
      <c r="E619" s="16" t="s">
        <v>41</v>
      </c>
      <c r="F619" s="16" t="s">
        <v>64</v>
      </c>
      <c r="G619" s="17" t="s">
        <v>1928</v>
      </c>
      <c r="H619" s="16"/>
    </row>
    <row r="620" spans="1:8" ht="31.5" hidden="1">
      <c r="A620" s="102">
        <v>45971</v>
      </c>
      <c r="B620" s="16" t="s">
        <v>197</v>
      </c>
      <c r="C620" s="16" t="s">
        <v>407</v>
      </c>
      <c r="D620" s="16" t="s">
        <v>423</v>
      </c>
      <c r="E620" s="16" t="s">
        <v>41</v>
      </c>
      <c r="F620" s="16" t="s">
        <v>64</v>
      </c>
      <c r="G620" s="17" t="s">
        <v>1929</v>
      </c>
      <c r="H620" s="16"/>
    </row>
    <row r="621" spans="1:8" hidden="1">
      <c r="A621" s="102">
        <v>45971</v>
      </c>
      <c r="B621" s="16" t="s">
        <v>197</v>
      </c>
      <c r="C621" s="16" t="s">
        <v>1646</v>
      </c>
      <c r="D621" s="16" t="s">
        <v>1605</v>
      </c>
      <c r="E621" s="16" t="s">
        <v>41</v>
      </c>
      <c r="F621" s="16" t="s">
        <v>77</v>
      </c>
      <c r="G621" s="17" t="s">
        <v>938</v>
      </c>
      <c r="H621" s="16"/>
    </row>
    <row r="622" spans="1:8" ht="31.5" hidden="1">
      <c r="A622" s="102">
        <v>45971</v>
      </c>
      <c r="B622" s="16" t="s">
        <v>197</v>
      </c>
      <c r="C622" s="16" t="s">
        <v>1910</v>
      </c>
      <c r="D622" s="16" t="s">
        <v>1911</v>
      </c>
      <c r="E622" s="16" t="s">
        <v>41</v>
      </c>
      <c r="F622" s="16" t="s">
        <v>64</v>
      </c>
      <c r="G622" s="17" t="s">
        <v>1930</v>
      </c>
      <c r="H622" s="16"/>
    </row>
    <row r="623" spans="1:8" ht="63" hidden="1">
      <c r="A623" s="102">
        <v>45971</v>
      </c>
      <c r="B623" s="16" t="s">
        <v>197</v>
      </c>
      <c r="C623" s="16" t="s">
        <v>1446</v>
      </c>
      <c r="D623" s="16" t="s">
        <v>1478</v>
      </c>
      <c r="E623" s="16" t="s">
        <v>41</v>
      </c>
      <c r="F623" s="16" t="s">
        <v>77</v>
      </c>
      <c r="G623" s="17" t="s">
        <v>1931</v>
      </c>
      <c r="H623" s="16"/>
    </row>
    <row r="624" spans="1:8" ht="31.5" hidden="1">
      <c r="A624" s="102">
        <v>45971</v>
      </c>
      <c r="B624" s="16" t="s">
        <v>91</v>
      </c>
      <c r="C624" s="16" t="s">
        <v>1878</v>
      </c>
      <c r="D624" s="16" t="s">
        <v>1879</v>
      </c>
      <c r="E624" s="16" t="s">
        <v>41</v>
      </c>
      <c r="F624" s="16" t="s">
        <v>77</v>
      </c>
      <c r="G624" s="17" t="s">
        <v>1932</v>
      </c>
      <c r="H624" s="16"/>
    </row>
    <row r="625" spans="1:14" hidden="1">
      <c r="A625" s="102">
        <v>45972</v>
      </c>
      <c r="B625" s="16" t="s">
        <v>75</v>
      </c>
      <c r="C625" s="16" t="s">
        <v>1247</v>
      </c>
      <c r="D625" s="16" t="s">
        <v>1248</v>
      </c>
      <c r="E625" s="16" t="s">
        <v>41</v>
      </c>
      <c r="F625" s="16" t="s">
        <v>64</v>
      </c>
      <c r="G625" s="17" t="s">
        <v>1933</v>
      </c>
      <c r="H625" s="16"/>
    </row>
    <row r="626" spans="1:14" hidden="1">
      <c r="A626" s="102">
        <v>45972</v>
      </c>
      <c r="B626" s="16" t="s">
        <v>75</v>
      </c>
      <c r="C626" s="16" t="s">
        <v>979</v>
      </c>
      <c r="D626" s="16" t="s">
        <v>1934</v>
      </c>
      <c r="E626" s="16" t="s">
        <v>41</v>
      </c>
      <c r="F626" s="16" t="s">
        <v>77</v>
      </c>
      <c r="G626" s="17" t="s">
        <v>1385</v>
      </c>
      <c r="H626" s="16"/>
    </row>
    <row r="627" spans="1:14" ht="63" hidden="1">
      <c r="A627" s="102">
        <v>45972</v>
      </c>
      <c r="B627" s="16" t="s">
        <v>197</v>
      </c>
      <c r="C627" s="16" t="s">
        <v>979</v>
      </c>
      <c r="D627" s="16" t="s">
        <v>1578</v>
      </c>
      <c r="E627" s="16" t="s">
        <v>41</v>
      </c>
      <c r="F627" s="16" t="s">
        <v>64</v>
      </c>
      <c r="G627" s="17" t="s">
        <v>1935</v>
      </c>
      <c r="H627" s="16"/>
      <c r="L627" s="104"/>
      <c r="M627" s="104"/>
      <c r="N627" s="104"/>
    </row>
    <row r="628" spans="1:14" ht="16.5" hidden="1">
      <c r="A628" s="102">
        <v>45972</v>
      </c>
      <c r="B628" s="16" t="s">
        <v>75</v>
      </c>
      <c r="C628" s="16" t="s">
        <v>1894</v>
      </c>
      <c r="D628" s="16" t="s">
        <v>1895</v>
      </c>
      <c r="E628" s="16" t="s">
        <v>41</v>
      </c>
      <c r="F628" s="16" t="s">
        <v>77</v>
      </c>
      <c r="G628" s="17" t="s">
        <v>1385</v>
      </c>
      <c r="H628" s="16"/>
      <c r="L628" s="104"/>
      <c r="M628" s="104"/>
      <c r="N628" s="104"/>
    </row>
    <row r="629" spans="1:14" ht="47.25" hidden="1">
      <c r="A629" s="102">
        <v>45972</v>
      </c>
      <c r="B629" s="16" t="s">
        <v>91</v>
      </c>
      <c r="C629" s="16" t="s">
        <v>1905</v>
      </c>
      <c r="D629" s="16" t="s">
        <v>1906</v>
      </c>
      <c r="E629" s="16" t="s">
        <v>41</v>
      </c>
      <c r="F629" s="16" t="s">
        <v>64</v>
      </c>
      <c r="G629" s="17" t="s">
        <v>1936</v>
      </c>
      <c r="H629" s="16"/>
      <c r="L629" s="104"/>
      <c r="M629" s="104"/>
      <c r="N629" s="104"/>
    </row>
    <row r="630" spans="1:14" ht="31.5" hidden="1">
      <c r="A630" s="102">
        <v>45972</v>
      </c>
      <c r="B630" s="16" t="s">
        <v>197</v>
      </c>
      <c r="C630" s="16" t="s">
        <v>1261</v>
      </c>
      <c r="D630" s="16" t="s">
        <v>1875</v>
      </c>
      <c r="E630" s="16" t="s">
        <v>41</v>
      </c>
      <c r="F630" s="16" t="s">
        <v>71</v>
      </c>
      <c r="G630" s="17" t="s">
        <v>1937</v>
      </c>
      <c r="H630" s="16"/>
      <c r="L630" s="104"/>
      <c r="M630" s="104"/>
      <c r="N630" s="104"/>
    </row>
    <row r="631" spans="1:14" ht="31.5" hidden="1">
      <c r="A631" s="102">
        <v>45972</v>
      </c>
      <c r="B631" s="16" t="s">
        <v>91</v>
      </c>
      <c r="C631" s="16" t="s">
        <v>1790</v>
      </c>
      <c r="D631" s="16" t="s">
        <v>1791</v>
      </c>
      <c r="E631" s="16" t="s">
        <v>41</v>
      </c>
      <c r="F631" s="16" t="s">
        <v>77</v>
      </c>
      <c r="G631" s="17" t="s">
        <v>1938</v>
      </c>
      <c r="H631" s="16"/>
      <c r="L631" s="12"/>
      <c r="M631" s="12"/>
      <c r="N631" s="12"/>
    </row>
    <row r="632" spans="1:14" ht="47.25" hidden="1">
      <c r="A632" s="102">
        <v>45972</v>
      </c>
      <c r="B632" s="16" t="s">
        <v>75</v>
      </c>
      <c r="C632" s="16" t="s">
        <v>1227</v>
      </c>
      <c r="D632" s="16" t="s">
        <v>1939</v>
      </c>
      <c r="E632" s="16" t="s">
        <v>41</v>
      </c>
      <c r="F632" s="17" t="s">
        <v>77</v>
      </c>
      <c r="G632" s="43" t="s">
        <v>1940</v>
      </c>
      <c r="H632" s="16"/>
    </row>
    <row r="633" spans="1:14" ht="283.5" hidden="1">
      <c r="A633" s="102">
        <v>45973</v>
      </c>
      <c r="B633" s="16" t="s">
        <v>75</v>
      </c>
      <c r="C633" s="16" t="s">
        <v>1247</v>
      </c>
      <c r="D633" s="16" t="s">
        <v>1248</v>
      </c>
      <c r="E633" s="16" t="s">
        <v>40</v>
      </c>
      <c r="F633" s="16" t="s">
        <v>71</v>
      </c>
      <c r="G633" s="17" t="s">
        <v>1941</v>
      </c>
      <c r="H633" s="16"/>
    </row>
    <row r="634" spans="1:14" ht="110.25" hidden="1">
      <c r="A634" s="102">
        <v>45973</v>
      </c>
      <c r="B634" s="16" t="s">
        <v>76</v>
      </c>
      <c r="C634" s="16" t="s">
        <v>1236</v>
      </c>
      <c r="D634" s="16" t="s">
        <v>1345</v>
      </c>
      <c r="E634" s="16" t="s">
        <v>40</v>
      </c>
      <c r="F634" s="16" t="s">
        <v>71</v>
      </c>
      <c r="G634" s="17" t="s">
        <v>1942</v>
      </c>
      <c r="H634" s="16"/>
    </row>
    <row r="635" spans="1:14" ht="31.5" hidden="1">
      <c r="A635" s="102">
        <v>45973</v>
      </c>
      <c r="B635" s="16" t="s">
        <v>75</v>
      </c>
      <c r="C635" s="16" t="s">
        <v>1528</v>
      </c>
      <c r="D635" s="16" t="s">
        <v>1943</v>
      </c>
      <c r="E635" s="16" t="s">
        <v>41</v>
      </c>
      <c r="F635" s="16" t="s">
        <v>71</v>
      </c>
      <c r="G635" s="17" t="s">
        <v>1944</v>
      </c>
      <c r="H635" s="16"/>
    </row>
    <row r="636" spans="1:14" hidden="1">
      <c r="A636" s="102">
        <v>45973</v>
      </c>
      <c r="B636" s="16" t="s">
        <v>197</v>
      </c>
      <c r="C636" s="16" t="s">
        <v>407</v>
      </c>
      <c r="D636" s="16" t="s">
        <v>423</v>
      </c>
      <c r="E636" s="16" t="s">
        <v>41</v>
      </c>
      <c r="F636" s="16" t="s">
        <v>71</v>
      </c>
      <c r="G636" s="17" t="s">
        <v>1945</v>
      </c>
      <c r="H636" s="16"/>
    </row>
    <row r="637" spans="1:14" ht="94.5" hidden="1">
      <c r="A637" s="102">
        <v>45973</v>
      </c>
      <c r="B637" s="16" t="s">
        <v>75</v>
      </c>
      <c r="C637" s="16" t="s">
        <v>1227</v>
      </c>
      <c r="D637" s="16" t="s">
        <v>1946</v>
      </c>
      <c r="E637" s="16" t="s">
        <v>41</v>
      </c>
      <c r="F637" s="16" t="s">
        <v>64</v>
      </c>
      <c r="G637" s="17" t="s">
        <v>1947</v>
      </c>
      <c r="H637" s="16"/>
    </row>
    <row r="638" spans="1:14" hidden="1">
      <c r="A638" s="102">
        <v>45973</v>
      </c>
      <c r="B638" s="16" t="s">
        <v>91</v>
      </c>
      <c r="C638" s="16" t="s">
        <v>1948</v>
      </c>
      <c r="D638" s="16" t="s">
        <v>206</v>
      </c>
      <c r="E638" s="16" t="s">
        <v>41</v>
      </c>
      <c r="F638" s="16" t="s">
        <v>77</v>
      </c>
      <c r="G638" s="17" t="s">
        <v>1949</v>
      </c>
      <c r="H638" s="16"/>
    </row>
    <row r="639" spans="1:14" hidden="1">
      <c r="A639" s="102">
        <v>45973</v>
      </c>
      <c r="B639" s="16" t="s">
        <v>75</v>
      </c>
      <c r="C639" s="16" t="s">
        <v>1505</v>
      </c>
      <c r="D639" s="16" t="s">
        <v>1506</v>
      </c>
      <c r="E639" s="16" t="s">
        <v>41</v>
      </c>
      <c r="F639" s="16" t="s">
        <v>77</v>
      </c>
      <c r="G639" s="17" t="s">
        <v>1385</v>
      </c>
      <c r="H639" s="16"/>
    </row>
    <row r="640" spans="1:14" hidden="1">
      <c r="A640" s="102">
        <v>45973</v>
      </c>
      <c r="B640" s="16" t="s">
        <v>91</v>
      </c>
      <c r="C640" s="16" t="s">
        <v>1950</v>
      </c>
      <c r="D640" s="16" t="s">
        <v>206</v>
      </c>
      <c r="E640" s="16" t="s">
        <v>41</v>
      </c>
      <c r="F640" s="16" t="s">
        <v>77</v>
      </c>
      <c r="G640" s="17" t="s">
        <v>1951</v>
      </c>
      <c r="H640" s="16"/>
    </row>
    <row r="641" spans="1:8" ht="157.5" hidden="1">
      <c r="A641" s="102">
        <v>45974</v>
      </c>
      <c r="B641" s="16" t="s">
        <v>75</v>
      </c>
      <c r="C641" s="16" t="s">
        <v>1230</v>
      </c>
      <c r="D641" s="16" t="s">
        <v>1550</v>
      </c>
      <c r="E641" s="16" t="s">
        <v>40</v>
      </c>
      <c r="F641" s="16" t="s">
        <v>71</v>
      </c>
      <c r="G641" s="17" t="s">
        <v>1952</v>
      </c>
      <c r="H641" s="16"/>
    </row>
    <row r="642" spans="1:8" ht="141.75" hidden="1">
      <c r="A642" s="102">
        <v>45974</v>
      </c>
      <c r="B642" s="16" t="s">
        <v>91</v>
      </c>
      <c r="C642" s="16" t="s">
        <v>1774</v>
      </c>
      <c r="D642" s="16" t="s">
        <v>1953</v>
      </c>
      <c r="E642" s="16" t="s">
        <v>40</v>
      </c>
      <c r="F642" s="16" t="s">
        <v>71</v>
      </c>
      <c r="G642" s="17" t="s">
        <v>1954</v>
      </c>
      <c r="H642" s="16"/>
    </row>
    <row r="643" spans="1:8" hidden="1">
      <c r="A643" s="102">
        <v>45974</v>
      </c>
      <c r="B643" s="16" t="s">
        <v>197</v>
      </c>
      <c r="C643" s="16" t="s">
        <v>1268</v>
      </c>
      <c r="D643" s="16" t="s">
        <v>1799</v>
      </c>
      <c r="E643" s="16" t="s">
        <v>41</v>
      </c>
      <c r="F643" s="16" t="s">
        <v>77</v>
      </c>
      <c r="G643" s="17" t="s">
        <v>1385</v>
      </c>
      <c r="H643" s="16"/>
    </row>
    <row r="644" spans="1:8" hidden="1">
      <c r="A644" s="102">
        <v>45974</v>
      </c>
      <c r="B644" s="16" t="s">
        <v>75</v>
      </c>
      <c r="C644" s="16" t="s">
        <v>1233</v>
      </c>
      <c r="D644" s="16" t="s">
        <v>1242</v>
      </c>
      <c r="E644" s="16" t="s">
        <v>41</v>
      </c>
      <c r="F644" s="16" t="s">
        <v>77</v>
      </c>
      <c r="G644" s="17" t="s">
        <v>1385</v>
      </c>
      <c r="H644" s="16"/>
    </row>
    <row r="645" spans="1:8" hidden="1">
      <c r="A645" s="102">
        <v>45974</v>
      </c>
      <c r="B645" s="16" t="s">
        <v>91</v>
      </c>
      <c r="C645" s="16" t="s">
        <v>1955</v>
      </c>
      <c r="D645" s="16" t="s">
        <v>1956</v>
      </c>
      <c r="E645" s="16" t="s">
        <v>41</v>
      </c>
      <c r="F645" s="16" t="s">
        <v>77</v>
      </c>
      <c r="G645" s="17" t="s">
        <v>1957</v>
      </c>
      <c r="H645" s="16"/>
    </row>
    <row r="646" spans="1:8" ht="110.25" hidden="1">
      <c r="A646" s="102">
        <v>45974</v>
      </c>
      <c r="B646" s="16" t="s">
        <v>91</v>
      </c>
      <c r="C646" s="16" t="s">
        <v>1894</v>
      </c>
      <c r="D646" s="16" t="s">
        <v>1895</v>
      </c>
      <c r="E646" s="16" t="s">
        <v>41</v>
      </c>
      <c r="F646" s="16" t="s">
        <v>71</v>
      </c>
      <c r="G646" s="17" t="s">
        <v>1958</v>
      </c>
      <c r="H646" s="16"/>
    </row>
    <row r="647" spans="1:8" ht="31.5" hidden="1">
      <c r="A647" s="102">
        <v>45974</v>
      </c>
      <c r="B647" s="16" t="s">
        <v>197</v>
      </c>
      <c r="C647" s="16" t="s">
        <v>1910</v>
      </c>
      <c r="D647" s="16" t="s">
        <v>1911</v>
      </c>
      <c r="E647" s="16" t="s">
        <v>41</v>
      </c>
      <c r="F647" s="16" t="s">
        <v>71</v>
      </c>
      <c r="G647" s="17" t="s">
        <v>1959</v>
      </c>
      <c r="H647" s="16"/>
    </row>
    <row r="648" spans="1:8" hidden="1">
      <c r="A648" s="102">
        <v>45974</v>
      </c>
      <c r="B648" s="16" t="s">
        <v>75</v>
      </c>
      <c r="C648" s="16" t="s">
        <v>1960</v>
      </c>
      <c r="D648" s="16" t="s">
        <v>1961</v>
      </c>
      <c r="E648" s="16" t="s">
        <v>41</v>
      </c>
      <c r="F648" s="16" t="s">
        <v>77</v>
      </c>
      <c r="G648" s="17" t="s">
        <v>1385</v>
      </c>
      <c r="H648" s="16"/>
    </row>
    <row r="649" spans="1:8" hidden="1">
      <c r="A649" s="102">
        <v>45974</v>
      </c>
      <c r="B649" s="16" t="s">
        <v>75</v>
      </c>
      <c r="C649" s="16" t="s">
        <v>1962</v>
      </c>
      <c r="D649" s="16" t="s">
        <v>1698</v>
      </c>
      <c r="E649" s="16" t="s">
        <v>41</v>
      </c>
      <c r="F649" s="16" t="s">
        <v>77</v>
      </c>
      <c r="G649" s="17" t="s">
        <v>1385</v>
      </c>
      <c r="H649" s="16"/>
    </row>
    <row r="650" spans="1:8" ht="31.5" hidden="1">
      <c r="A650" s="102">
        <v>45975</v>
      </c>
      <c r="B650" s="16" t="s">
        <v>197</v>
      </c>
      <c r="C650" s="16" t="s">
        <v>1528</v>
      </c>
      <c r="D650" s="16" t="s">
        <v>1943</v>
      </c>
      <c r="E650" s="16" t="s">
        <v>41</v>
      </c>
      <c r="F650" s="16" t="s">
        <v>71</v>
      </c>
      <c r="G650" s="17" t="s">
        <v>1963</v>
      </c>
      <c r="H650" s="16"/>
    </row>
    <row r="651" spans="1:8" hidden="1">
      <c r="A651" s="102">
        <v>45975</v>
      </c>
      <c r="B651" s="16" t="s">
        <v>197</v>
      </c>
      <c r="C651" s="16" t="s">
        <v>1268</v>
      </c>
      <c r="D651" s="16" t="s">
        <v>1799</v>
      </c>
      <c r="E651" s="16" t="s">
        <v>41</v>
      </c>
      <c r="F651" s="16" t="s">
        <v>77</v>
      </c>
      <c r="G651" s="17" t="s">
        <v>1385</v>
      </c>
      <c r="H651" s="16"/>
    </row>
    <row r="652" spans="1:8" ht="47.25" hidden="1">
      <c r="A652" s="102">
        <v>45975</v>
      </c>
      <c r="B652" s="16" t="s">
        <v>197</v>
      </c>
      <c r="C652" s="16" t="s">
        <v>1233</v>
      </c>
      <c r="D652" s="16" t="s">
        <v>1242</v>
      </c>
      <c r="E652" s="16" t="s">
        <v>41</v>
      </c>
      <c r="F652" s="16" t="s">
        <v>71</v>
      </c>
      <c r="G652" s="17" t="s">
        <v>1964</v>
      </c>
      <c r="H652" s="16"/>
    </row>
    <row r="653" spans="1:8" hidden="1">
      <c r="A653" s="102">
        <v>45975</v>
      </c>
      <c r="B653" s="16" t="s">
        <v>91</v>
      </c>
      <c r="C653" s="16" t="s">
        <v>1955</v>
      </c>
      <c r="D653" s="16" t="s">
        <v>1956</v>
      </c>
      <c r="E653" s="16" t="s">
        <v>41</v>
      </c>
      <c r="F653" s="16" t="s">
        <v>77</v>
      </c>
      <c r="G653" s="17" t="s">
        <v>1385</v>
      </c>
      <c r="H653" s="16"/>
    </row>
    <row r="654" spans="1:8" hidden="1">
      <c r="A654" s="102">
        <v>45975</v>
      </c>
      <c r="B654" s="16" t="s">
        <v>197</v>
      </c>
      <c r="C654" s="16" t="s">
        <v>1646</v>
      </c>
      <c r="D654" s="16" t="s">
        <v>1605</v>
      </c>
      <c r="E654" s="16" t="s">
        <v>41</v>
      </c>
      <c r="F654" s="16" t="s">
        <v>77</v>
      </c>
      <c r="G654" s="17" t="s">
        <v>1965</v>
      </c>
      <c r="H654" s="16"/>
    </row>
    <row r="655" spans="1:8" ht="47.25" hidden="1">
      <c r="A655" s="102">
        <v>45975</v>
      </c>
      <c r="B655" s="16" t="s">
        <v>75</v>
      </c>
      <c r="C655" s="16" t="s">
        <v>1244</v>
      </c>
      <c r="D655" s="16" t="s">
        <v>1245</v>
      </c>
      <c r="E655" s="16" t="s">
        <v>41</v>
      </c>
      <c r="F655" s="16" t="s">
        <v>77</v>
      </c>
      <c r="G655" s="17" t="s">
        <v>1966</v>
      </c>
      <c r="H655" s="16"/>
    </row>
    <row r="656" spans="1:8" hidden="1">
      <c r="A656" s="102">
        <v>45975</v>
      </c>
      <c r="B656" s="16" t="s">
        <v>75</v>
      </c>
      <c r="C656" s="16" t="s">
        <v>1244</v>
      </c>
      <c r="D656" s="16" t="s">
        <v>1967</v>
      </c>
      <c r="E656" s="16" t="s">
        <v>41</v>
      </c>
      <c r="F656" s="16" t="s">
        <v>77</v>
      </c>
      <c r="G656" s="17" t="s">
        <v>1542</v>
      </c>
      <c r="H656" s="16"/>
    </row>
    <row r="657" spans="1:8" hidden="1">
      <c r="A657" s="102">
        <v>45975</v>
      </c>
      <c r="B657" s="16" t="s">
        <v>75</v>
      </c>
      <c r="C657" s="16" t="s">
        <v>1843</v>
      </c>
      <c r="D657" s="16" t="s">
        <v>1439</v>
      </c>
      <c r="E657" s="16" t="s">
        <v>41</v>
      </c>
      <c r="F657" s="16" t="s">
        <v>77</v>
      </c>
      <c r="G657" s="17" t="s">
        <v>1385</v>
      </c>
      <c r="H657" s="16"/>
    </row>
    <row r="658" spans="1:8" ht="31.5" hidden="1">
      <c r="A658" s="102">
        <v>45975</v>
      </c>
      <c r="B658" s="16" t="s">
        <v>91</v>
      </c>
      <c r="C658" s="16" t="s">
        <v>1780</v>
      </c>
      <c r="D658" s="16" t="s">
        <v>1897</v>
      </c>
      <c r="E658" s="16" t="s">
        <v>41</v>
      </c>
      <c r="F658" s="16" t="s">
        <v>64</v>
      </c>
      <c r="G658" s="17" t="s">
        <v>1968</v>
      </c>
      <c r="H658" s="16"/>
    </row>
    <row r="659" spans="1:8" ht="31.5" hidden="1">
      <c r="A659" s="102">
        <v>45975</v>
      </c>
      <c r="B659" s="16" t="s">
        <v>91</v>
      </c>
      <c r="C659" s="16" t="s">
        <v>1969</v>
      </c>
      <c r="D659" s="16" t="s">
        <v>206</v>
      </c>
      <c r="E659" s="16" t="s">
        <v>41</v>
      </c>
      <c r="F659" s="16" t="s">
        <v>77</v>
      </c>
      <c r="G659" s="17" t="s">
        <v>1970</v>
      </c>
      <c r="H659" s="16"/>
    </row>
    <row r="660" spans="1:8" hidden="1">
      <c r="A660" s="102">
        <v>45975</v>
      </c>
      <c r="B660" s="16" t="s">
        <v>91</v>
      </c>
      <c r="C660" s="16" t="s">
        <v>1748</v>
      </c>
      <c r="D660" s="16" t="s">
        <v>1971</v>
      </c>
      <c r="E660" s="16" t="s">
        <v>41</v>
      </c>
      <c r="F660" s="16" t="s">
        <v>77</v>
      </c>
      <c r="G660" s="17" t="s">
        <v>1972</v>
      </c>
      <c r="H660" s="16"/>
    </row>
    <row r="661" spans="1:8" ht="31.5" hidden="1">
      <c r="A661" s="102">
        <v>45975</v>
      </c>
      <c r="B661" s="16" t="s">
        <v>75</v>
      </c>
      <c r="C661" s="16" t="s">
        <v>1425</v>
      </c>
      <c r="D661" s="16" t="s">
        <v>1523</v>
      </c>
      <c r="E661" s="16" t="s">
        <v>41</v>
      </c>
      <c r="F661" s="16" t="s">
        <v>77</v>
      </c>
      <c r="G661" s="17" t="s">
        <v>1973</v>
      </c>
      <c r="H661" s="16"/>
    </row>
    <row r="662" spans="1:8" ht="31.5" hidden="1">
      <c r="A662" s="102">
        <v>45975</v>
      </c>
      <c r="B662" s="16" t="s">
        <v>91</v>
      </c>
      <c r="C662" s="17" t="s">
        <v>1974</v>
      </c>
      <c r="D662" s="16" t="s">
        <v>206</v>
      </c>
      <c r="E662" s="16" t="s">
        <v>41</v>
      </c>
      <c r="F662" s="16" t="s">
        <v>77</v>
      </c>
      <c r="G662" s="17" t="s">
        <v>1975</v>
      </c>
      <c r="H662" s="16"/>
    </row>
    <row r="663" spans="1:8" hidden="1"/>
    <row r="664" spans="1:8" hidden="1">
      <c r="A664" s="3" t="s">
        <v>70</v>
      </c>
      <c r="B664" s="4" t="s">
        <v>72</v>
      </c>
      <c r="C664" s="4" t="s">
        <v>16</v>
      </c>
      <c r="D664" s="34" t="s">
        <v>155</v>
      </c>
      <c r="E664" s="9" t="s">
        <v>156</v>
      </c>
      <c r="F664" s="10" t="s">
        <v>157</v>
      </c>
    </row>
    <row r="665" spans="1:8" hidden="1">
      <c r="A665" s="132" t="s">
        <v>63</v>
      </c>
      <c r="B665" s="99" t="s">
        <v>68</v>
      </c>
      <c r="C665" s="99">
        <v>7</v>
      </c>
      <c r="D665" s="99">
        <f>C665</f>
        <v>7</v>
      </c>
      <c r="E665" s="133">
        <f>D665+D667+D669</f>
        <v>11.333333333333332</v>
      </c>
      <c r="F665" s="134">
        <f>E665/12</f>
        <v>0.94444444444444431</v>
      </c>
    </row>
    <row r="666" spans="1:8" hidden="1">
      <c r="A666" s="122"/>
      <c r="B666" s="125" t="s">
        <v>65</v>
      </c>
      <c r="C666" s="125">
        <v>13</v>
      </c>
      <c r="D666" s="35" t="s">
        <v>158</v>
      </c>
      <c r="E666" s="123"/>
      <c r="F666" s="124"/>
    </row>
    <row r="667" spans="1:8" hidden="1">
      <c r="A667" s="122"/>
      <c r="B667" s="125"/>
      <c r="C667" s="125"/>
      <c r="D667" s="16">
        <f>C666/3</f>
        <v>4.333333333333333</v>
      </c>
      <c r="E667" s="123"/>
      <c r="F667" s="124"/>
    </row>
    <row r="668" spans="1:8" hidden="1">
      <c r="A668" s="122"/>
      <c r="B668" s="125" t="s">
        <v>69</v>
      </c>
      <c r="C668" s="125">
        <v>26</v>
      </c>
      <c r="D668" s="35" t="s">
        <v>159</v>
      </c>
      <c r="E668" s="123"/>
      <c r="F668" s="124"/>
    </row>
    <row r="669" spans="1:8" hidden="1">
      <c r="A669" s="122"/>
      <c r="B669" s="125"/>
      <c r="C669" s="125"/>
      <c r="D669" s="16">
        <v>0</v>
      </c>
      <c r="E669" s="123"/>
      <c r="F669" s="124"/>
    </row>
    <row r="670" spans="1:8" hidden="1">
      <c r="A670" s="36" t="s">
        <v>70</v>
      </c>
      <c r="B670" s="37" t="s">
        <v>72</v>
      </c>
      <c r="C670" s="37" t="s">
        <v>16</v>
      </c>
      <c r="D670" s="126" t="s">
        <v>160</v>
      </c>
      <c r="E670" s="126"/>
      <c r="F670" s="127"/>
    </row>
    <row r="671" spans="1:8" hidden="1">
      <c r="A671" s="122" t="s">
        <v>62</v>
      </c>
      <c r="B671" s="16" t="s">
        <v>68</v>
      </c>
      <c r="C671" s="16">
        <v>4</v>
      </c>
      <c r="D671" s="129">
        <f>C671/9</f>
        <v>0.44444444444444442</v>
      </c>
      <c r="E671" s="129"/>
      <c r="F671" s="124"/>
    </row>
    <row r="672" spans="1:8" ht="16.5" hidden="1" thickBot="1">
      <c r="A672" s="128"/>
      <c r="B672" s="20" t="s">
        <v>69</v>
      </c>
      <c r="C672" s="20">
        <v>0</v>
      </c>
      <c r="D672" s="130"/>
      <c r="E672" s="130"/>
      <c r="F672" s="131"/>
    </row>
    <row r="673" spans="1:14" hidden="1"/>
    <row r="674" spans="1:14" hidden="1">
      <c r="A674" t="s">
        <v>1976</v>
      </c>
    </row>
    <row r="675" spans="1:14" hidden="1">
      <c r="A675" s="37" t="s">
        <v>58</v>
      </c>
      <c r="B675" s="37" t="s">
        <v>67</v>
      </c>
      <c r="C675" s="37" t="s">
        <v>3</v>
      </c>
      <c r="D675" s="37" t="s">
        <v>57</v>
      </c>
      <c r="E675" s="37" t="s">
        <v>59</v>
      </c>
      <c r="F675" s="37" t="s">
        <v>61</v>
      </c>
      <c r="G675" s="37" t="s">
        <v>60</v>
      </c>
      <c r="H675" s="37" t="s">
        <v>66</v>
      </c>
      <c r="K675" s="14"/>
      <c r="L675" s="14"/>
      <c r="M675" s="32"/>
      <c r="N675" s="14"/>
    </row>
    <row r="676" spans="1:14" ht="78.75" hidden="1">
      <c r="A676" s="102">
        <v>45978</v>
      </c>
      <c r="B676" s="16" t="s">
        <v>75</v>
      </c>
      <c r="C676" s="16" t="s">
        <v>886</v>
      </c>
      <c r="D676" s="16" t="s">
        <v>1492</v>
      </c>
      <c r="E676" s="16" t="s">
        <v>40</v>
      </c>
      <c r="F676" s="16" t="s">
        <v>71</v>
      </c>
      <c r="G676" s="17" t="s">
        <v>1977</v>
      </c>
      <c r="H676" s="16"/>
      <c r="K676" s="14"/>
      <c r="L676" s="32"/>
      <c r="M676" s="14"/>
      <c r="N676" s="32"/>
    </row>
    <row r="677" spans="1:14" ht="110.25" hidden="1">
      <c r="A677" s="102">
        <v>45979</v>
      </c>
      <c r="B677" s="16" t="s">
        <v>75</v>
      </c>
      <c r="C677" s="16" t="s">
        <v>881</v>
      </c>
      <c r="D677" s="16" t="s">
        <v>1668</v>
      </c>
      <c r="E677" s="16" t="s">
        <v>40</v>
      </c>
      <c r="F677" s="16" t="s">
        <v>71</v>
      </c>
      <c r="G677" s="17" t="s">
        <v>1978</v>
      </c>
      <c r="H677" s="16"/>
      <c r="K677" s="14"/>
      <c r="L677" s="32"/>
      <c r="M677" s="14"/>
      <c r="N677" s="32"/>
    </row>
    <row r="678" spans="1:14" ht="252" hidden="1">
      <c r="A678" s="102">
        <v>45979</v>
      </c>
      <c r="B678" s="16" t="s">
        <v>75</v>
      </c>
      <c r="C678" s="16" t="s">
        <v>533</v>
      </c>
      <c r="D678" s="16" t="s">
        <v>1626</v>
      </c>
      <c r="E678" s="16" t="s">
        <v>40</v>
      </c>
      <c r="F678" s="16" t="s">
        <v>71</v>
      </c>
      <c r="G678" s="32" t="s">
        <v>1979</v>
      </c>
      <c r="H678" s="16"/>
      <c r="K678" s="14"/>
      <c r="L678" s="14"/>
      <c r="M678" s="14"/>
      <c r="N678" s="32"/>
    </row>
    <row r="679" spans="1:14" ht="204.75" hidden="1">
      <c r="A679" s="102">
        <v>45979</v>
      </c>
      <c r="B679" s="16" t="s">
        <v>91</v>
      </c>
      <c r="C679" s="16" t="s">
        <v>889</v>
      </c>
      <c r="D679" s="16" t="s">
        <v>1924</v>
      </c>
      <c r="E679" s="16" t="s">
        <v>40</v>
      </c>
      <c r="F679" s="16" t="s">
        <v>71</v>
      </c>
      <c r="G679" s="17" t="s">
        <v>1980</v>
      </c>
      <c r="H679" s="16"/>
      <c r="K679" s="14"/>
      <c r="L679" s="32"/>
      <c r="M679" s="14"/>
      <c r="N679" s="32"/>
    </row>
    <row r="680" spans="1:14" ht="78.75" hidden="1">
      <c r="A680" s="102">
        <v>45980</v>
      </c>
      <c r="B680" s="16" t="s">
        <v>197</v>
      </c>
      <c r="C680" s="16" t="s">
        <v>1314</v>
      </c>
      <c r="D680" s="16" t="s">
        <v>1315</v>
      </c>
      <c r="E680" s="16" t="s">
        <v>40</v>
      </c>
      <c r="F680" s="16" t="s">
        <v>71</v>
      </c>
      <c r="G680" s="17" t="s">
        <v>1981</v>
      </c>
      <c r="H680" s="16"/>
      <c r="K680" s="14"/>
      <c r="L680" s="14"/>
      <c r="M680" s="14"/>
      <c r="N680" s="14"/>
    </row>
    <row r="681" spans="1:14" ht="173.25" hidden="1">
      <c r="A681" s="102">
        <v>45980</v>
      </c>
      <c r="B681" s="16" t="s">
        <v>91</v>
      </c>
      <c r="C681" s="16" t="s">
        <v>1863</v>
      </c>
      <c r="D681" s="16" t="s">
        <v>1906</v>
      </c>
      <c r="E681" s="16" t="s">
        <v>40</v>
      </c>
      <c r="F681" s="16" t="s">
        <v>71</v>
      </c>
      <c r="G681" s="32" t="s">
        <v>1982</v>
      </c>
      <c r="H681" s="16"/>
      <c r="K681" s="14"/>
      <c r="L681" s="32"/>
      <c r="M681" s="14"/>
      <c r="N681" s="32"/>
    </row>
    <row r="682" spans="1:14" ht="110.25" hidden="1">
      <c r="A682" s="102">
        <v>45980</v>
      </c>
      <c r="B682" s="16" t="s">
        <v>91</v>
      </c>
      <c r="C682" s="14" t="s">
        <v>780</v>
      </c>
      <c r="D682" s="16" t="s">
        <v>1983</v>
      </c>
      <c r="E682" s="16" t="s">
        <v>40</v>
      </c>
      <c r="F682" s="16" t="s">
        <v>77</v>
      </c>
      <c r="G682" s="32" t="s">
        <v>1984</v>
      </c>
      <c r="H682" s="16"/>
      <c r="K682" s="14"/>
      <c r="L682" s="32"/>
      <c r="M682" s="14"/>
      <c r="N682" s="14"/>
    </row>
    <row r="683" spans="1:14" ht="204.75" hidden="1">
      <c r="A683" s="102">
        <v>45981</v>
      </c>
      <c r="B683" s="16" t="s">
        <v>75</v>
      </c>
      <c r="C683" s="16" t="s">
        <v>407</v>
      </c>
      <c r="D683" s="16" t="s">
        <v>423</v>
      </c>
      <c r="E683" s="16" t="s">
        <v>40</v>
      </c>
      <c r="F683" s="16" t="s">
        <v>71</v>
      </c>
      <c r="G683" s="17" t="s">
        <v>1985</v>
      </c>
      <c r="H683" s="16"/>
      <c r="K683" s="14"/>
      <c r="L683" s="14"/>
      <c r="M683" s="14"/>
      <c r="N683" s="14"/>
    </row>
    <row r="684" spans="1:14" ht="94.5" hidden="1">
      <c r="A684" s="102">
        <v>45981</v>
      </c>
      <c r="B684" s="16" t="s">
        <v>75</v>
      </c>
      <c r="C684" s="16" t="s">
        <v>1646</v>
      </c>
      <c r="D684" s="16" t="s">
        <v>1605</v>
      </c>
      <c r="E684" s="16" t="s">
        <v>40</v>
      </c>
      <c r="F684" s="16" t="s">
        <v>77</v>
      </c>
      <c r="G684" s="32" t="s">
        <v>1986</v>
      </c>
      <c r="H684" s="16"/>
      <c r="K684" s="14"/>
      <c r="L684" s="14"/>
      <c r="M684" s="14"/>
      <c r="N684" s="14"/>
    </row>
    <row r="685" spans="1:14" ht="63" hidden="1">
      <c r="A685" s="102">
        <v>45981</v>
      </c>
      <c r="B685" s="16" t="s">
        <v>197</v>
      </c>
      <c r="C685" s="16" t="s">
        <v>1236</v>
      </c>
      <c r="D685" s="16" t="s">
        <v>1345</v>
      </c>
      <c r="E685" s="16" t="s">
        <v>41</v>
      </c>
      <c r="F685" s="16" t="s">
        <v>71</v>
      </c>
      <c r="G685" s="32" t="s">
        <v>1987</v>
      </c>
      <c r="H685" s="16"/>
      <c r="K685" s="14"/>
      <c r="L685" s="14"/>
      <c r="M685" s="14"/>
      <c r="N685" s="14"/>
    </row>
    <row r="686" spans="1:14" ht="63" hidden="1">
      <c r="A686" s="102">
        <v>45981</v>
      </c>
      <c r="B686" s="16" t="s">
        <v>197</v>
      </c>
      <c r="C686" s="16" t="s">
        <v>1910</v>
      </c>
      <c r="D686" s="16" t="s">
        <v>1911</v>
      </c>
      <c r="E686" s="16" t="s">
        <v>40</v>
      </c>
      <c r="F686" s="16" t="s">
        <v>71</v>
      </c>
      <c r="G686" s="32" t="s">
        <v>1988</v>
      </c>
      <c r="H686" s="16"/>
      <c r="K686" s="14"/>
      <c r="L686" s="14"/>
      <c r="M686" s="14"/>
      <c r="N686" s="14"/>
    </row>
    <row r="687" spans="1:14" ht="47.25" hidden="1">
      <c r="A687" s="102">
        <v>45981</v>
      </c>
      <c r="B687" s="16" t="s">
        <v>75</v>
      </c>
      <c r="C687" s="16" t="s">
        <v>1639</v>
      </c>
      <c r="D687" s="16" t="s">
        <v>1495</v>
      </c>
      <c r="E687" s="16" t="s">
        <v>40</v>
      </c>
      <c r="F687" s="16" t="s">
        <v>77</v>
      </c>
      <c r="G687" s="32" t="s">
        <v>1989</v>
      </c>
      <c r="H687" s="16"/>
      <c r="K687" s="14"/>
      <c r="L687" s="32"/>
      <c r="M687" s="14"/>
      <c r="N687" s="32"/>
    </row>
    <row r="688" spans="1:14" ht="47.25" hidden="1">
      <c r="A688" s="102">
        <v>45982</v>
      </c>
      <c r="B688" s="16" t="s">
        <v>197</v>
      </c>
      <c r="C688" s="16" t="s">
        <v>1256</v>
      </c>
      <c r="D688" s="16" t="s">
        <v>1990</v>
      </c>
      <c r="E688" s="16" t="s">
        <v>41</v>
      </c>
      <c r="F688" s="16" t="s">
        <v>77</v>
      </c>
      <c r="G688" s="17" t="s">
        <v>1991</v>
      </c>
      <c r="H688" s="16"/>
      <c r="K688" s="14"/>
      <c r="L688" s="32"/>
      <c r="M688" s="14"/>
      <c r="N688" s="14"/>
    </row>
    <row r="689" spans="1:14" hidden="1">
      <c r="A689" s="102">
        <v>45982</v>
      </c>
      <c r="B689" s="16" t="s">
        <v>197</v>
      </c>
      <c r="C689" s="16" t="s">
        <v>1256</v>
      </c>
      <c r="D689" s="16" t="s">
        <v>1992</v>
      </c>
      <c r="E689" s="16" t="s">
        <v>41</v>
      </c>
      <c r="F689" s="16" t="s">
        <v>77</v>
      </c>
      <c r="G689" s="17" t="s">
        <v>1385</v>
      </c>
      <c r="H689" s="16"/>
      <c r="K689" s="14"/>
      <c r="L689" s="32"/>
      <c r="M689" s="14"/>
      <c r="N689" s="14"/>
    </row>
    <row r="690" spans="1:14" ht="31.5" hidden="1">
      <c r="A690" s="102">
        <v>45982</v>
      </c>
      <c r="B690" s="16" t="s">
        <v>197</v>
      </c>
      <c r="C690" s="16" t="s">
        <v>1823</v>
      </c>
      <c r="D690" s="16" t="s">
        <v>1993</v>
      </c>
      <c r="E690" s="16" t="s">
        <v>41</v>
      </c>
      <c r="F690" s="16" t="s">
        <v>77</v>
      </c>
      <c r="G690" s="17" t="s">
        <v>1994</v>
      </c>
      <c r="H690" s="16"/>
      <c r="K690" s="14"/>
      <c r="L690" s="32"/>
      <c r="M690" s="14"/>
      <c r="N690" s="14"/>
    </row>
    <row r="691" spans="1:14" hidden="1">
      <c r="A691" s="102">
        <v>45982</v>
      </c>
      <c r="B691" s="16" t="s">
        <v>75</v>
      </c>
      <c r="C691" s="16" t="s">
        <v>1823</v>
      </c>
      <c r="D691" s="16" t="s">
        <v>1824</v>
      </c>
      <c r="E691" s="16" t="s">
        <v>41</v>
      </c>
      <c r="F691" s="16" t="s">
        <v>77</v>
      </c>
      <c r="G691" s="17" t="s">
        <v>1385</v>
      </c>
      <c r="H691" s="16"/>
      <c r="K691" s="14"/>
      <c r="L691" s="32"/>
      <c r="M691" s="1"/>
      <c r="N691" s="1"/>
    </row>
    <row r="692" spans="1:14" ht="16.5" hidden="1">
      <c r="A692" s="102">
        <v>45982</v>
      </c>
      <c r="B692" s="16" t="s">
        <v>91</v>
      </c>
      <c r="C692" s="16" t="s">
        <v>1995</v>
      </c>
      <c r="D692" s="16" t="s">
        <v>1996</v>
      </c>
      <c r="E692" s="16" t="s">
        <v>41</v>
      </c>
      <c r="F692" s="16" t="s">
        <v>77</v>
      </c>
      <c r="G692" s="17" t="s">
        <v>1385</v>
      </c>
      <c r="H692" s="16"/>
      <c r="L692" s="104"/>
      <c r="M692" s="104"/>
      <c r="N692" s="104"/>
    </row>
    <row r="693" spans="1:14" ht="141.75" hidden="1">
      <c r="A693" s="102">
        <v>45982</v>
      </c>
      <c r="B693" s="16" t="s">
        <v>197</v>
      </c>
      <c r="C693" s="16" t="s">
        <v>1233</v>
      </c>
      <c r="D693" s="16" t="s">
        <v>1511</v>
      </c>
      <c r="E693" s="16" t="s">
        <v>41</v>
      </c>
      <c r="F693" s="16" t="s">
        <v>71</v>
      </c>
      <c r="G693" s="17" t="s">
        <v>1997</v>
      </c>
      <c r="H693" s="16"/>
      <c r="L693" s="104"/>
      <c r="M693" s="104"/>
      <c r="N693" s="104"/>
    </row>
    <row r="694" spans="1:14" ht="31.5" hidden="1">
      <c r="A694" s="102">
        <v>45982</v>
      </c>
      <c r="B694" s="16" t="s">
        <v>75</v>
      </c>
      <c r="C694" s="16" t="s">
        <v>1244</v>
      </c>
      <c r="D694" s="16" t="s">
        <v>1967</v>
      </c>
      <c r="E694" s="16" t="s">
        <v>41</v>
      </c>
      <c r="F694" s="16" t="s">
        <v>64</v>
      </c>
      <c r="G694" s="17" t="s">
        <v>1998</v>
      </c>
      <c r="H694" s="16"/>
      <c r="L694" s="12"/>
      <c r="M694" s="12"/>
      <c r="N694" s="12"/>
    </row>
    <row r="695" spans="1:14" ht="47.25" hidden="1">
      <c r="A695" s="102">
        <v>45982</v>
      </c>
      <c r="B695" s="16" t="s">
        <v>75</v>
      </c>
      <c r="C695" s="16" t="s">
        <v>1670</v>
      </c>
      <c r="D695" s="16" t="s">
        <v>1992</v>
      </c>
      <c r="E695" s="16" t="s">
        <v>41</v>
      </c>
      <c r="F695" s="17" t="s">
        <v>64</v>
      </c>
      <c r="G695" s="43" t="s">
        <v>1999</v>
      </c>
      <c r="H695" s="16"/>
    </row>
    <row r="696" spans="1:14" ht="47.25" hidden="1">
      <c r="A696" s="102">
        <v>45982</v>
      </c>
      <c r="B696" s="16" t="s">
        <v>75</v>
      </c>
      <c r="C696" s="16" t="s">
        <v>1528</v>
      </c>
      <c r="D696" s="16" t="s">
        <v>1529</v>
      </c>
      <c r="E696" s="16" t="s">
        <v>41</v>
      </c>
      <c r="F696" s="16" t="s">
        <v>77</v>
      </c>
      <c r="G696" s="17" t="s">
        <v>2000</v>
      </c>
      <c r="H696" s="16"/>
    </row>
    <row r="697" spans="1:14" hidden="1">
      <c r="A697" s="102">
        <v>45982</v>
      </c>
      <c r="B697" s="16" t="s">
        <v>75</v>
      </c>
      <c r="C697" s="16" t="s">
        <v>1230</v>
      </c>
      <c r="D697" s="16" t="s">
        <v>2001</v>
      </c>
      <c r="E697" s="16" t="s">
        <v>41</v>
      </c>
      <c r="F697" s="16" t="s">
        <v>77</v>
      </c>
      <c r="G697" s="17" t="s">
        <v>2002</v>
      </c>
      <c r="H697" s="16"/>
    </row>
    <row r="698" spans="1:14" hidden="1">
      <c r="A698" s="102">
        <v>45982</v>
      </c>
      <c r="B698" s="16" t="s">
        <v>91</v>
      </c>
      <c r="C698" s="16" t="s">
        <v>1863</v>
      </c>
      <c r="D698" s="16" t="s">
        <v>1906</v>
      </c>
      <c r="E698" s="16" t="s">
        <v>41</v>
      </c>
      <c r="F698" s="16" t="s">
        <v>77</v>
      </c>
      <c r="G698" s="17" t="s">
        <v>2003</v>
      </c>
      <c r="H698" s="16"/>
    </row>
    <row r="699" spans="1:14" hidden="1">
      <c r="A699" s="102">
        <v>45982</v>
      </c>
      <c r="B699" s="16" t="s">
        <v>75</v>
      </c>
      <c r="C699" s="16" t="s">
        <v>1247</v>
      </c>
      <c r="D699" s="16" t="s">
        <v>1248</v>
      </c>
      <c r="E699" s="16" t="s">
        <v>41</v>
      </c>
      <c r="F699" s="16" t="s">
        <v>77</v>
      </c>
      <c r="G699" s="17" t="s">
        <v>613</v>
      </c>
      <c r="H699" s="16"/>
    </row>
    <row r="700" spans="1:14" hidden="1">
      <c r="A700" s="102"/>
      <c r="B700" s="16"/>
      <c r="C700" s="16"/>
      <c r="D700" s="16"/>
      <c r="E700" s="16"/>
      <c r="F700" s="16"/>
      <c r="G700" s="17"/>
      <c r="H700" s="16"/>
    </row>
    <row r="701" spans="1:14" hidden="1"/>
    <row r="702" spans="1:14" hidden="1">
      <c r="A702" s="3" t="s">
        <v>70</v>
      </c>
      <c r="B702" s="4" t="s">
        <v>72</v>
      </c>
      <c r="C702" s="4" t="s">
        <v>16</v>
      </c>
      <c r="D702" s="34" t="s">
        <v>155</v>
      </c>
      <c r="E702" s="9" t="s">
        <v>156</v>
      </c>
      <c r="F702" s="10" t="s">
        <v>157</v>
      </c>
    </row>
    <row r="703" spans="1:14" hidden="1">
      <c r="A703" s="132" t="s">
        <v>63</v>
      </c>
      <c r="B703" s="99" t="s">
        <v>68</v>
      </c>
      <c r="C703" s="99">
        <v>2</v>
      </c>
      <c r="D703" s="99">
        <f>C703</f>
        <v>2</v>
      </c>
      <c r="E703" s="133">
        <f>D703+D705+D707</f>
        <v>2.6666666666666665</v>
      </c>
      <c r="F703" s="134">
        <f>E703/12</f>
        <v>0.22222222222222221</v>
      </c>
    </row>
    <row r="704" spans="1:14" hidden="1">
      <c r="A704" s="122"/>
      <c r="B704" s="125" t="s">
        <v>65</v>
      </c>
      <c r="C704" s="125">
        <v>2</v>
      </c>
      <c r="D704" s="35" t="s">
        <v>158</v>
      </c>
      <c r="E704" s="123"/>
      <c r="F704" s="124"/>
    </row>
    <row r="705" spans="1:14" hidden="1">
      <c r="A705" s="122"/>
      <c r="B705" s="125"/>
      <c r="C705" s="125"/>
      <c r="D705" s="16">
        <f>C704/3</f>
        <v>0.66666666666666663</v>
      </c>
      <c r="E705" s="123"/>
      <c r="F705" s="124"/>
    </row>
    <row r="706" spans="1:14" hidden="1">
      <c r="A706" s="122"/>
      <c r="B706" s="125" t="s">
        <v>69</v>
      </c>
      <c r="C706" s="125">
        <v>9</v>
      </c>
      <c r="D706" s="35" t="s">
        <v>159</v>
      </c>
      <c r="E706" s="123"/>
      <c r="F706" s="124"/>
    </row>
    <row r="707" spans="1:14" hidden="1">
      <c r="A707" s="122"/>
      <c r="B707" s="125"/>
      <c r="C707" s="125"/>
      <c r="D707" s="16">
        <v>0</v>
      </c>
      <c r="E707" s="123"/>
      <c r="F707" s="124"/>
    </row>
    <row r="708" spans="1:14" hidden="1">
      <c r="A708" s="36" t="s">
        <v>70</v>
      </c>
      <c r="B708" s="37" t="s">
        <v>72</v>
      </c>
      <c r="C708" s="37" t="s">
        <v>16</v>
      </c>
      <c r="D708" s="126" t="s">
        <v>160</v>
      </c>
      <c r="E708" s="126"/>
      <c r="F708" s="127"/>
    </row>
    <row r="709" spans="1:14" hidden="1">
      <c r="A709" s="122" t="s">
        <v>62</v>
      </c>
      <c r="B709" s="16" t="s">
        <v>68</v>
      </c>
      <c r="C709" s="16">
        <v>8</v>
      </c>
      <c r="D709" s="129">
        <f>C709/9</f>
        <v>0.88888888888888884</v>
      </c>
      <c r="E709" s="129"/>
      <c r="F709" s="124"/>
    </row>
    <row r="710" spans="1:14" ht="16.5" hidden="1" thickBot="1">
      <c r="A710" s="128"/>
      <c r="B710" s="20" t="s">
        <v>69</v>
      </c>
      <c r="C710" s="20">
        <v>3</v>
      </c>
      <c r="D710" s="130"/>
      <c r="E710" s="130"/>
      <c r="F710" s="131"/>
    </row>
    <row r="711" spans="1:14" hidden="1"/>
    <row r="712" spans="1:14" hidden="1">
      <c r="A712" t="s">
        <v>2004</v>
      </c>
    </row>
    <row r="713" spans="1:14" hidden="1">
      <c r="A713" s="37" t="s">
        <v>58</v>
      </c>
      <c r="B713" s="37" t="s">
        <v>67</v>
      </c>
      <c r="C713" s="37" t="s">
        <v>3</v>
      </c>
      <c r="D713" s="37" t="s">
        <v>57</v>
      </c>
      <c r="E713" s="37" t="s">
        <v>59</v>
      </c>
      <c r="F713" s="37" t="s">
        <v>61</v>
      </c>
      <c r="G713" s="37" t="s">
        <v>60</v>
      </c>
      <c r="H713" s="37" t="s">
        <v>66</v>
      </c>
      <c r="K713" s="14"/>
      <c r="L713" s="14"/>
      <c r="M713" s="32"/>
      <c r="N713" s="14"/>
    </row>
    <row r="714" spans="1:14" ht="110.25" hidden="1">
      <c r="A714" s="102">
        <v>45985</v>
      </c>
      <c r="B714" s="16" t="s">
        <v>76</v>
      </c>
      <c r="C714" s="16" t="s">
        <v>1210</v>
      </c>
      <c r="D714" s="16" t="s">
        <v>2005</v>
      </c>
      <c r="E714" s="16" t="s">
        <v>40</v>
      </c>
      <c r="F714" s="16" t="s">
        <v>71</v>
      </c>
      <c r="G714" s="17" t="s">
        <v>2006</v>
      </c>
      <c r="H714" s="16"/>
      <c r="K714" s="14"/>
      <c r="L714" s="32"/>
      <c r="M714" s="14"/>
      <c r="N714" s="32"/>
    </row>
    <row r="715" spans="1:14" ht="47.25" hidden="1">
      <c r="A715" s="102">
        <v>45985</v>
      </c>
      <c r="B715" s="16" t="s">
        <v>76</v>
      </c>
      <c r="C715" s="16" t="s">
        <v>1213</v>
      </c>
      <c r="D715" s="16" t="s">
        <v>2007</v>
      </c>
      <c r="E715" s="16" t="s">
        <v>40</v>
      </c>
      <c r="F715" s="16" t="s">
        <v>77</v>
      </c>
      <c r="G715" s="17" t="s">
        <v>2008</v>
      </c>
      <c r="H715" s="16"/>
      <c r="K715" s="14"/>
      <c r="L715" s="32"/>
      <c r="M715" s="14"/>
      <c r="N715" s="32"/>
    </row>
    <row r="716" spans="1:14" ht="47.25" hidden="1">
      <c r="A716" s="102">
        <v>45985</v>
      </c>
      <c r="B716" s="16" t="s">
        <v>197</v>
      </c>
      <c r="C716" s="16" t="s">
        <v>407</v>
      </c>
      <c r="D716" s="16" t="s">
        <v>423</v>
      </c>
      <c r="E716" s="16" t="s">
        <v>41</v>
      </c>
      <c r="F716" s="16" t="s">
        <v>71</v>
      </c>
      <c r="G716" s="17" t="s">
        <v>2009</v>
      </c>
      <c r="H716" s="16"/>
      <c r="K716" s="14"/>
      <c r="L716" s="32"/>
      <c r="M716" s="14"/>
      <c r="N716" s="32"/>
    </row>
    <row r="717" spans="1:14" hidden="1">
      <c r="A717" s="102">
        <v>45986</v>
      </c>
      <c r="B717" s="16" t="s">
        <v>75</v>
      </c>
      <c r="C717" s="16" t="s">
        <v>1528</v>
      </c>
      <c r="D717" s="16" t="s">
        <v>2010</v>
      </c>
      <c r="E717" s="16" t="s">
        <v>41</v>
      </c>
      <c r="F717" s="16" t="s">
        <v>77</v>
      </c>
      <c r="G717" s="32" t="s">
        <v>2011</v>
      </c>
      <c r="H717" s="16"/>
      <c r="K717" s="14"/>
      <c r="L717" s="14"/>
      <c r="M717" s="14"/>
      <c r="N717" s="32"/>
    </row>
    <row r="718" spans="1:14" ht="94.5" hidden="1">
      <c r="A718" s="102">
        <v>45986</v>
      </c>
      <c r="B718" s="16" t="s">
        <v>76</v>
      </c>
      <c r="C718" s="16" t="s">
        <v>1670</v>
      </c>
      <c r="D718" s="16" t="s">
        <v>1992</v>
      </c>
      <c r="E718" s="16" t="s">
        <v>41</v>
      </c>
      <c r="F718" s="16" t="s">
        <v>64</v>
      </c>
      <c r="G718" s="17" t="s">
        <v>2012</v>
      </c>
      <c r="H718" s="16"/>
      <c r="K718" s="14"/>
      <c r="L718" s="32"/>
      <c r="M718" s="14"/>
      <c r="N718" s="32"/>
    </row>
    <row r="719" spans="1:14" hidden="1">
      <c r="A719" s="102">
        <v>45986</v>
      </c>
      <c r="B719" s="16" t="s">
        <v>75</v>
      </c>
      <c r="C719" s="16" t="s">
        <v>1244</v>
      </c>
      <c r="D719" s="16" t="s">
        <v>1967</v>
      </c>
      <c r="E719" s="16" t="s">
        <v>41</v>
      </c>
      <c r="F719" s="16" t="s">
        <v>64</v>
      </c>
      <c r="G719" s="17" t="s">
        <v>2013</v>
      </c>
      <c r="H719" s="16"/>
      <c r="K719" s="14"/>
      <c r="L719" s="14"/>
      <c r="M719" s="14"/>
      <c r="N719" s="14"/>
    </row>
    <row r="720" spans="1:14" ht="110.25" hidden="1">
      <c r="A720" s="102">
        <v>45986</v>
      </c>
      <c r="B720" s="16" t="s">
        <v>91</v>
      </c>
      <c r="C720" s="16" t="s">
        <v>1376</v>
      </c>
      <c r="D720" s="16" t="s">
        <v>1502</v>
      </c>
      <c r="E720" s="16" t="s">
        <v>41</v>
      </c>
      <c r="F720" s="16" t="s">
        <v>71</v>
      </c>
      <c r="G720" s="17" t="s">
        <v>2014</v>
      </c>
      <c r="H720" s="16"/>
      <c r="K720" s="14"/>
      <c r="L720" s="14"/>
      <c r="M720" s="14"/>
      <c r="N720" s="14"/>
    </row>
    <row r="721" spans="1:14" ht="78.75" hidden="1">
      <c r="A721" s="102">
        <v>45986</v>
      </c>
      <c r="B721" s="16" t="s">
        <v>197</v>
      </c>
      <c r="C721" s="16" t="s">
        <v>1202</v>
      </c>
      <c r="D721" s="16" t="s">
        <v>2015</v>
      </c>
      <c r="E721" s="16" t="s">
        <v>40</v>
      </c>
      <c r="F721" s="16" t="s">
        <v>71</v>
      </c>
      <c r="G721" s="17" t="s">
        <v>2016</v>
      </c>
      <c r="H721" s="16"/>
      <c r="K721" s="14"/>
      <c r="L721" s="32"/>
      <c r="M721" s="14"/>
      <c r="N721" s="32"/>
    </row>
    <row r="722" spans="1:14" ht="63" hidden="1">
      <c r="A722" s="102">
        <v>45986</v>
      </c>
      <c r="B722" s="16" t="s">
        <v>76</v>
      </c>
      <c r="C722" s="14" t="s">
        <v>1202</v>
      </c>
      <c r="D722" s="16" t="s">
        <v>1552</v>
      </c>
      <c r="E722" s="16" t="s">
        <v>40</v>
      </c>
      <c r="F722" s="16" t="s">
        <v>77</v>
      </c>
      <c r="G722" s="17" t="s">
        <v>2017</v>
      </c>
      <c r="H722" s="16"/>
      <c r="K722" s="14"/>
      <c r="L722" s="32"/>
      <c r="M722" s="14"/>
      <c r="N722" s="14"/>
    </row>
    <row r="723" spans="1:14" ht="94.5" hidden="1">
      <c r="A723" s="102">
        <v>45987</v>
      </c>
      <c r="B723" s="16" t="s">
        <v>75</v>
      </c>
      <c r="C723" s="16" t="s">
        <v>561</v>
      </c>
      <c r="D723" s="16" t="s">
        <v>2018</v>
      </c>
      <c r="E723" s="16" t="s">
        <v>41</v>
      </c>
      <c r="F723" s="16" t="s">
        <v>71</v>
      </c>
      <c r="G723" s="17" t="s">
        <v>2019</v>
      </c>
      <c r="H723" s="16"/>
      <c r="K723" s="14"/>
      <c r="L723" s="14"/>
      <c r="M723" s="14"/>
      <c r="N723" s="14"/>
    </row>
    <row r="724" spans="1:14" hidden="1">
      <c r="A724" s="102">
        <v>45987</v>
      </c>
      <c r="B724" s="16" t="s">
        <v>75</v>
      </c>
      <c r="C724" s="16" t="s">
        <v>561</v>
      </c>
      <c r="D724" s="16" t="s">
        <v>2020</v>
      </c>
      <c r="E724" s="16" t="s">
        <v>41</v>
      </c>
      <c r="F724" s="16" t="s">
        <v>77</v>
      </c>
      <c r="G724" s="17" t="s">
        <v>2021</v>
      </c>
      <c r="H724" s="16"/>
      <c r="K724" s="14"/>
      <c r="L724" s="14"/>
      <c r="M724" s="14"/>
      <c r="N724" s="14"/>
    </row>
    <row r="725" spans="1:14" ht="78.75" hidden="1">
      <c r="A725" s="102">
        <v>45987</v>
      </c>
      <c r="B725" s="16" t="s">
        <v>75</v>
      </c>
      <c r="C725" s="16" t="s">
        <v>1452</v>
      </c>
      <c r="D725" s="16" t="s">
        <v>2022</v>
      </c>
      <c r="E725" s="16" t="s">
        <v>40</v>
      </c>
      <c r="F725" s="16" t="s">
        <v>71</v>
      </c>
      <c r="G725" s="17" t="s">
        <v>2023</v>
      </c>
      <c r="H725" s="16"/>
      <c r="K725" s="14"/>
      <c r="L725" s="14"/>
      <c r="M725" s="14"/>
      <c r="N725" s="14"/>
    </row>
    <row r="726" spans="1:14" ht="110.25" hidden="1">
      <c r="A726" s="102">
        <v>45987</v>
      </c>
      <c r="B726" s="16" t="s">
        <v>197</v>
      </c>
      <c r="C726" s="16" t="s">
        <v>979</v>
      </c>
      <c r="D726" s="16" t="s">
        <v>1578</v>
      </c>
      <c r="E726" s="16" t="s">
        <v>41</v>
      </c>
      <c r="F726" s="16" t="s">
        <v>71</v>
      </c>
      <c r="G726" s="17" t="s">
        <v>2024</v>
      </c>
      <c r="H726" s="16"/>
      <c r="K726" s="14"/>
      <c r="L726" s="14"/>
      <c r="M726" s="14"/>
      <c r="N726" s="14"/>
    </row>
    <row r="727" spans="1:14" hidden="1">
      <c r="A727" s="102">
        <v>45987</v>
      </c>
      <c r="B727" s="16" t="s">
        <v>75</v>
      </c>
      <c r="C727" s="16" t="s">
        <v>979</v>
      </c>
      <c r="D727" s="16" t="s">
        <v>2025</v>
      </c>
      <c r="E727" s="16" t="s">
        <v>41</v>
      </c>
      <c r="F727" s="16" t="s">
        <v>77</v>
      </c>
      <c r="G727" s="17" t="s">
        <v>2026</v>
      </c>
      <c r="H727" s="16"/>
      <c r="K727" s="14"/>
      <c r="L727" s="14"/>
      <c r="M727" s="14"/>
      <c r="N727" s="14"/>
    </row>
    <row r="728" spans="1:14" ht="63" hidden="1">
      <c r="A728" s="102">
        <v>45987</v>
      </c>
      <c r="B728" s="16" t="s">
        <v>75</v>
      </c>
      <c r="C728" s="16" t="s">
        <v>1528</v>
      </c>
      <c r="D728" s="16" t="s">
        <v>1750</v>
      </c>
      <c r="E728" s="16" t="s">
        <v>41</v>
      </c>
      <c r="F728" s="16" t="s">
        <v>71</v>
      </c>
      <c r="G728" s="17" t="s">
        <v>2027</v>
      </c>
      <c r="H728" s="16"/>
      <c r="K728" s="14"/>
      <c r="L728" s="32"/>
      <c r="M728" s="14"/>
      <c r="N728" s="32"/>
    </row>
    <row r="729" spans="1:14" ht="126" hidden="1">
      <c r="A729" s="102">
        <v>45987</v>
      </c>
      <c r="B729" s="16" t="s">
        <v>91</v>
      </c>
      <c r="C729" s="16" t="s">
        <v>1878</v>
      </c>
      <c r="D729" s="16" t="s">
        <v>2028</v>
      </c>
      <c r="E729" s="16" t="s">
        <v>41</v>
      </c>
      <c r="F729" s="16" t="s">
        <v>71</v>
      </c>
      <c r="G729" s="17" t="s">
        <v>2029</v>
      </c>
      <c r="H729" s="16"/>
      <c r="K729" s="14"/>
      <c r="L729" s="32"/>
      <c r="M729" s="14"/>
      <c r="N729" s="14"/>
    </row>
    <row r="730" spans="1:14" hidden="1">
      <c r="A730" s="102">
        <v>45987</v>
      </c>
      <c r="B730" s="16" t="s">
        <v>91</v>
      </c>
      <c r="C730" s="16" t="s">
        <v>1790</v>
      </c>
      <c r="D730" s="16" t="s">
        <v>1890</v>
      </c>
      <c r="E730" s="16" t="s">
        <v>41</v>
      </c>
      <c r="F730" s="16" t="s">
        <v>77</v>
      </c>
      <c r="G730" s="17" t="s">
        <v>1385</v>
      </c>
      <c r="H730" s="16"/>
      <c r="K730" s="14"/>
      <c r="L730" s="32"/>
      <c r="M730" s="14"/>
      <c r="N730" s="14"/>
    </row>
    <row r="731" spans="1:14" ht="31.5" hidden="1">
      <c r="A731" s="102">
        <v>45987</v>
      </c>
      <c r="B731" s="16" t="s">
        <v>75</v>
      </c>
      <c r="C731" s="16" t="s">
        <v>1955</v>
      </c>
      <c r="D731" s="16" t="s">
        <v>2030</v>
      </c>
      <c r="E731" s="16" t="s">
        <v>41</v>
      </c>
      <c r="F731" s="16" t="s">
        <v>77</v>
      </c>
      <c r="G731" s="17" t="s">
        <v>2031</v>
      </c>
      <c r="H731" s="16"/>
      <c r="K731" s="14"/>
      <c r="L731" s="32"/>
      <c r="M731" s="14"/>
      <c r="N731" s="14"/>
    </row>
    <row r="732" spans="1:14" ht="31.5" hidden="1">
      <c r="A732" s="102">
        <v>45987</v>
      </c>
      <c r="B732" s="16" t="s">
        <v>197</v>
      </c>
      <c r="C732" s="16" t="s">
        <v>2032</v>
      </c>
      <c r="D732" s="16" t="s">
        <v>1924</v>
      </c>
      <c r="E732" s="16" t="s">
        <v>41</v>
      </c>
      <c r="F732" s="16" t="s">
        <v>71</v>
      </c>
      <c r="G732" s="17" t="s">
        <v>2033</v>
      </c>
      <c r="H732" s="16"/>
      <c r="K732" s="14"/>
      <c r="L732" s="32"/>
      <c r="M732" s="14"/>
      <c r="N732" s="14"/>
    </row>
    <row r="733" spans="1:14" hidden="1">
      <c r="A733" s="102">
        <v>45987</v>
      </c>
      <c r="B733" s="16" t="s">
        <v>197</v>
      </c>
      <c r="C733" s="16" t="s">
        <v>1446</v>
      </c>
      <c r="D733" s="16" t="s">
        <v>1478</v>
      </c>
      <c r="E733" s="16" t="s">
        <v>41</v>
      </c>
      <c r="F733" s="16" t="s">
        <v>77</v>
      </c>
      <c r="G733" s="17" t="s">
        <v>2034</v>
      </c>
      <c r="H733" s="16"/>
      <c r="K733" s="14"/>
      <c r="L733" s="32"/>
      <c r="M733" s="14"/>
      <c r="N733" s="14"/>
    </row>
    <row r="734" spans="1:14" hidden="1">
      <c r="A734" s="102">
        <v>45987</v>
      </c>
      <c r="B734" s="16" t="s">
        <v>91</v>
      </c>
      <c r="C734" s="16" t="s">
        <v>1391</v>
      </c>
      <c r="D734" s="16" t="s">
        <v>1544</v>
      </c>
      <c r="E734" s="16" t="s">
        <v>41</v>
      </c>
      <c r="F734" s="16" t="s">
        <v>77</v>
      </c>
      <c r="G734" s="17" t="s">
        <v>2035</v>
      </c>
      <c r="H734" s="16"/>
      <c r="K734" s="14"/>
      <c r="L734" s="32"/>
      <c r="M734" s="14"/>
      <c r="N734" s="14"/>
    </row>
    <row r="735" spans="1:14" ht="31.5" hidden="1">
      <c r="A735" s="102">
        <v>45987</v>
      </c>
      <c r="B735" s="16" t="s">
        <v>91</v>
      </c>
      <c r="C735" s="16" t="s">
        <v>1365</v>
      </c>
      <c r="D735" s="16" t="s">
        <v>1544</v>
      </c>
      <c r="E735" s="16" t="s">
        <v>41</v>
      </c>
      <c r="F735" s="16" t="s">
        <v>77</v>
      </c>
      <c r="G735" s="17" t="s">
        <v>2036</v>
      </c>
      <c r="H735" s="16"/>
      <c r="K735" s="14"/>
      <c r="L735" s="32"/>
      <c r="M735" s="14"/>
      <c r="N735" s="14"/>
    </row>
    <row r="736" spans="1:14" ht="47.25" hidden="1">
      <c r="A736" s="102">
        <v>45987</v>
      </c>
      <c r="B736" s="16" t="s">
        <v>75</v>
      </c>
      <c r="C736" s="16" t="s">
        <v>1386</v>
      </c>
      <c r="D736" s="16" t="s">
        <v>2037</v>
      </c>
      <c r="E736" s="16" t="s">
        <v>41</v>
      </c>
      <c r="F736" s="16" t="s">
        <v>64</v>
      </c>
      <c r="G736" s="17" t="s">
        <v>2038</v>
      </c>
      <c r="H736" s="16"/>
      <c r="K736" s="14"/>
      <c r="L736" s="32"/>
      <c r="M736" s="14"/>
      <c r="N736" s="14"/>
    </row>
    <row r="737" spans="1:14" ht="78.75" hidden="1">
      <c r="A737" s="102">
        <v>45988</v>
      </c>
      <c r="B737" s="16" t="s">
        <v>75</v>
      </c>
      <c r="C737" s="16" t="s">
        <v>1446</v>
      </c>
      <c r="D737" s="16" t="s">
        <v>2039</v>
      </c>
      <c r="E737" s="16" t="s">
        <v>41</v>
      </c>
      <c r="F737" s="16" t="s">
        <v>71</v>
      </c>
      <c r="G737" s="17" t="s">
        <v>2040</v>
      </c>
      <c r="H737" s="16"/>
      <c r="K737" s="14"/>
      <c r="L737" s="32"/>
      <c r="M737" s="14"/>
      <c r="N737" s="14"/>
    </row>
    <row r="738" spans="1:14" ht="47.25" hidden="1">
      <c r="A738" s="102">
        <v>45988</v>
      </c>
      <c r="B738" s="16" t="s">
        <v>75</v>
      </c>
      <c r="C738" s="16" t="s">
        <v>979</v>
      </c>
      <c r="D738" s="16" t="s">
        <v>1578</v>
      </c>
      <c r="E738" s="16" t="s">
        <v>41</v>
      </c>
      <c r="F738" s="16" t="s">
        <v>64</v>
      </c>
      <c r="G738" s="17" t="s">
        <v>2041</v>
      </c>
      <c r="H738" s="16"/>
      <c r="K738" s="14"/>
      <c r="L738" s="32"/>
      <c r="M738" s="14"/>
      <c r="N738" s="14"/>
    </row>
    <row r="739" spans="1:14" hidden="1">
      <c r="A739" s="102">
        <v>45988</v>
      </c>
      <c r="B739" s="16" t="s">
        <v>91</v>
      </c>
      <c r="C739" s="16" t="s">
        <v>2042</v>
      </c>
      <c r="D739" s="16" t="s">
        <v>206</v>
      </c>
      <c r="E739" s="16" t="s">
        <v>41</v>
      </c>
      <c r="F739" s="16" t="s">
        <v>77</v>
      </c>
      <c r="G739" s="17" t="s">
        <v>2043</v>
      </c>
      <c r="H739" s="16"/>
      <c r="K739" s="14"/>
      <c r="L739" s="32"/>
      <c r="M739" s="14"/>
      <c r="N739" s="14"/>
    </row>
    <row r="740" spans="1:14" hidden="1">
      <c r="A740" s="102">
        <v>45988</v>
      </c>
      <c r="B740" s="16" t="s">
        <v>91</v>
      </c>
      <c r="C740" s="16" t="s">
        <v>2044</v>
      </c>
      <c r="D740" s="16" t="s">
        <v>2045</v>
      </c>
      <c r="E740" s="16" t="s">
        <v>41</v>
      </c>
      <c r="F740" s="16" t="s">
        <v>77</v>
      </c>
      <c r="G740" s="17" t="s">
        <v>2046</v>
      </c>
      <c r="H740" s="16"/>
      <c r="K740" s="14"/>
      <c r="L740" s="32"/>
      <c r="M740" s="14"/>
      <c r="N740" s="14"/>
    </row>
    <row r="741" spans="1:14" ht="31.5" hidden="1">
      <c r="A741" s="102">
        <v>45988</v>
      </c>
      <c r="B741" s="16" t="s">
        <v>75</v>
      </c>
      <c r="C741" s="16" t="s">
        <v>1227</v>
      </c>
      <c r="D741" s="16" t="s">
        <v>1946</v>
      </c>
      <c r="E741" s="16" t="s">
        <v>41</v>
      </c>
      <c r="F741" s="16" t="s">
        <v>64</v>
      </c>
      <c r="G741" s="17" t="s">
        <v>2047</v>
      </c>
      <c r="H741" s="16"/>
      <c r="K741" s="14"/>
      <c r="L741" s="32"/>
      <c r="M741" s="14"/>
      <c r="N741" s="14"/>
    </row>
    <row r="742" spans="1:14" ht="31.5" hidden="1">
      <c r="A742" s="102">
        <v>45988</v>
      </c>
      <c r="B742" s="16" t="s">
        <v>91</v>
      </c>
      <c r="C742" s="17" t="s">
        <v>1974</v>
      </c>
      <c r="D742" s="16" t="s">
        <v>206</v>
      </c>
      <c r="E742" s="16" t="s">
        <v>41</v>
      </c>
      <c r="F742" s="16" t="s">
        <v>77</v>
      </c>
      <c r="G742" s="17" t="s">
        <v>2048</v>
      </c>
      <c r="H742" s="16"/>
      <c r="K742" s="14"/>
      <c r="L742" s="32"/>
      <c r="M742" s="14"/>
      <c r="N742" s="14"/>
    </row>
    <row r="743" spans="1:14" hidden="1">
      <c r="A743" s="102">
        <v>45988</v>
      </c>
      <c r="B743" s="16" t="s">
        <v>91</v>
      </c>
      <c r="C743" s="16" t="s">
        <v>1810</v>
      </c>
      <c r="D743" s="16" t="s">
        <v>1971</v>
      </c>
      <c r="E743" s="16" t="s">
        <v>41</v>
      </c>
      <c r="F743" s="16" t="s">
        <v>77</v>
      </c>
      <c r="G743" s="17" t="s">
        <v>2049</v>
      </c>
      <c r="H743" s="16"/>
      <c r="K743" s="14"/>
      <c r="L743" s="32"/>
      <c r="M743" s="14"/>
      <c r="N743" s="14"/>
    </row>
    <row r="744" spans="1:14" ht="78.75" hidden="1">
      <c r="A744" s="102">
        <v>45988</v>
      </c>
      <c r="B744" s="16" t="s">
        <v>76</v>
      </c>
      <c r="C744" s="16" t="s">
        <v>1236</v>
      </c>
      <c r="D744" s="16" t="s">
        <v>1345</v>
      </c>
      <c r="E744" s="16" t="s">
        <v>41</v>
      </c>
      <c r="F744" s="16" t="s">
        <v>71</v>
      </c>
      <c r="G744" s="17" t="s">
        <v>2050</v>
      </c>
      <c r="H744" s="16"/>
      <c r="K744" s="14"/>
      <c r="L744" s="32"/>
      <c r="M744" s="14"/>
      <c r="N744" s="14"/>
    </row>
    <row r="745" spans="1:14" ht="31.5" hidden="1">
      <c r="A745" s="102">
        <v>45988</v>
      </c>
      <c r="B745" s="16" t="s">
        <v>75</v>
      </c>
      <c r="C745" s="16" t="s">
        <v>1962</v>
      </c>
      <c r="D745" s="16" t="s">
        <v>1534</v>
      </c>
      <c r="E745" s="16" t="s">
        <v>41</v>
      </c>
      <c r="F745" s="16" t="s">
        <v>64</v>
      </c>
      <c r="G745" s="17" t="s">
        <v>2051</v>
      </c>
      <c r="H745" s="16"/>
      <c r="K745" s="14"/>
      <c r="L745" s="32"/>
      <c r="M745" s="14"/>
      <c r="N745" s="14"/>
    </row>
    <row r="746" spans="1:14" ht="126" hidden="1">
      <c r="A746" s="102">
        <v>45988</v>
      </c>
      <c r="B746" s="16" t="s">
        <v>75</v>
      </c>
      <c r="C746" s="16" t="s">
        <v>1960</v>
      </c>
      <c r="D746" s="16" t="s">
        <v>2052</v>
      </c>
      <c r="E746" s="16" t="s">
        <v>41</v>
      </c>
      <c r="F746" s="16" t="s">
        <v>71</v>
      </c>
      <c r="G746" s="17" t="s">
        <v>2053</v>
      </c>
      <c r="H746" s="16"/>
      <c r="K746" s="14"/>
      <c r="L746" s="32"/>
      <c r="M746" s="14"/>
      <c r="N746" s="14"/>
    </row>
    <row r="747" spans="1:14" hidden="1">
      <c r="A747" s="102">
        <v>45988</v>
      </c>
      <c r="B747" s="16" t="s">
        <v>91</v>
      </c>
      <c r="C747" s="16" t="s">
        <v>780</v>
      </c>
      <c r="D747" s="16" t="s">
        <v>1835</v>
      </c>
      <c r="E747" s="16" t="s">
        <v>41</v>
      </c>
      <c r="F747" s="16" t="s">
        <v>77</v>
      </c>
      <c r="G747" s="17" t="s">
        <v>1385</v>
      </c>
      <c r="H747" s="16"/>
      <c r="K747" s="14"/>
      <c r="L747" s="32"/>
      <c r="M747" s="14"/>
      <c r="N747" s="14"/>
    </row>
    <row r="748" spans="1:14" hidden="1">
      <c r="A748" s="102">
        <v>45988</v>
      </c>
      <c r="B748" s="16" t="s">
        <v>91</v>
      </c>
      <c r="C748" s="16" t="s">
        <v>1397</v>
      </c>
      <c r="D748" s="16" t="s">
        <v>1422</v>
      </c>
      <c r="E748" s="16" t="s">
        <v>41</v>
      </c>
      <c r="F748" s="16" t="s">
        <v>77</v>
      </c>
      <c r="G748" s="17" t="s">
        <v>1385</v>
      </c>
      <c r="H748" s="16"/>
      <c r="K748" s="14"/>
      <c r="L748" s="32"/>
      <c r="M748" s="14"/>
      <c r="N748" s="14"/>
    </row>
    <row r="749" spans="1:14" hidden="1">
      <c r="A749" s="102">
        <v>45988</v>
      </c>
      <c r="B749" s="16" t="s">
        <v>91</v>
      </c>
      <c r="C749" s="16" t="s">
        <v>1892</v>
      </c>
      <c r="D749" s="16" t="s">
        <v>2054</v>
      </c>
      <c r="E749" s="16" t="s">
        <v>41</v>
      </c>
      <c r="F749" s="16" t="s">
        <v>77</v>
      </c>
      <c r="G749" s="17" t="s">
        <v>2055</v>
      </c>
      <c r="H749" s="16"/>
      <c r="K749" s="14"/>
      <c r="L749" s="32"/>
      <c r="M749" s="14"/>
      <c r="N749" s="14"/>
    </row>
    <row r="750" spans="1:14" hidden="1">
      <c r="A750" s="102">
        <v>45988</v>
      </c>
      <c r="B750" s="16" t="s">
        <v>91</v>
      </c>
      <c r="C750" s="16" t="s">
        <v>1391</v>
      </c>
      <c r="D750" s="16" t="s">
        <v>206</v>
      </c>
      <c r="E750" s="16" t="s">
        <v>41</v>
      </c>
      <c r="F750" s="16" t="s">
        <v>77</v>
      </c>
      <c r="G750" s="17" t="s">
        <v>2056</v>
      </c>
      <c r="H750" s="16"/>
      <c r="K750" s="14"/>
      <c r="L750" s="32"/>
      <c r="M750" s="14"/>
      <c r="N750" s="14"/>
    </row>
    <row r="751" spans="1:14" ht="47.25" hidden="1">
      <c r="A751" s="102">
        <v>45988</v>
      </c>
      <c r="B751" s="16" t="s">
        <v>75</v>
      </c>
      <c r="C751" s="16" t="s">
        <v>1291</v>
      </c>
      <c r="D751" s="16" t="s">
        <v>2057</v>
      </c>
      <c r="E751" s="16" t="s">
        <v>41</v>
      </c>
      <c r="F751" s="16" t="s">
        <v>64</v>
      </c>
      <c r="G751" s="17" t="s">
        <v>2058</v>
      </c>
      <c r="H751" s="16"/>
      <c r="K751" s="14"/>
      <c r="L751" s="32"/>
      <c r="M751" s="14"/>
      <c r="N751" s="14"/>
    </row>
    <row r="752" spans="1:14" ht="63" hidden="1">
      <c r="A752" s="102">
        <v>45988</v>
      </c>
      <c r="B752" s="16" t="s">
        <v>75</v>
      </c>
      <c r="C752" s="16" t="s">
        <v>1843</v>
      </c>
      <c r="D752" s="16" t="s">
        <v>1439</v>
      </c>
      <c r="E752" s="16" t="s">
        <v>41</v>
      </c>
      <c r="F752" s="16" t="s">
        <v>64</v>
      </c>
      <c r="G752" s="17" t="s">
        <v>2059</v>
      </c>
      <c r="H752" s="16"/>
      <c r="K752" s="14"/>
      <c r="L752" s="32"/>
      <c r="M752" s="14"/>
      <c r="N752" s="14"/>
    </row>
    <row r="753" spans="1:14" ht="31.5" hidden="1">
      <c r="A753" s="102">
        <v>45988</v>
      </c>
      <c r="B753" s="16" t="s">
        <v>75</v>
      </c>
      <c r="C753" s="16" t="s">
        <v>1425</v>
      </c>
      <c r="D753" s="16" t="s">
        <v>1523</v>
      </c>
      <c r="E753" s="16" t="s">
        <v>41</v>
      </c>
      <c r="F753" s="16" t="s">
        <v>77</v>
      </c>
      <c r="G753" s="17" t="s">
        <v>2060</v>
      </c>
      <c r="H753" s="16"/>
      <c r="K753" s="14"/>
      <c r="L753" s="32"/>
      <c r="M753" s="14"/>
      <c r="N753" s="14"/>
    </row>
    <row r="754" spans="1:14" ht="31.5" hidden="1">
      <c r="A754" s="102">
        <v>45988</v>
      </c>
      <c r="B754" s="16" t="s">
        <v>75</v>
      </c>
      <c r="C754" s="16" t="s">
        <v>1294</v>
      </c>
      <c r="D754" s="16" t="s">
        <v>1295</v>
      </c>
      <c r="E754" s="16" t="s">
        <v>41</v>
      </c>
      <c r="F754" s="16" t="s">
        <v>77</v>
      </c>
      <c r="G754" s="17" t="s">
        <v>2061</v>
      </c>
      <c r="H754" s="16"/>
      <c r="K754" s="14"/>
      <c r="L754" s="32"/>
      <c r="M754" s="14"/>
      <c r="N754" s="14"/>
    </row>
    <row r="755" spans="1:14" hidden="1">
      <c r="A755" s="102">
        <v>45988</v>
      </c>
      <c r="B755" s="16" t="s">
        <v>75</v>
      </c>
      <c r="C755" s="16" t="s">
        <v>1256</v>
      </c>
      <c r="D755" s="16" t="s">
        <v>2062</v>
      </c>
      <c r="E755" s="16" t="s">
        <v>41</v>
      </c>
      <c r="F755" s="16" t="s">
        <v>77</v>
      </c>
      <c r="G755" s="17" t="s">
        <v>129</v>
      </c>
      <c r="H755" s="16"/>
      <c r="K755" s="14"/>
      <c r="L755" s="32"/>
      <c r="M755" s="14"/>
      <c r="N755" s="14"/>
    </row>
    <row r="756" spans="1:14" ht="110.25" hidden="1">
      <c r="A756" s="102">
        <v>45988</v>
      </c>
      <c r="B756" s="16" t="s">
        <v>75</v>
      </c>
      <c r="C756" s="16" t="s">
        <v>1256</v>
      </c>
      <c r="D756" s="16" t="s">
        <v>2063</v>
      </c>
      <c r="E756" s="16" t="s">
        <v>41</v>
      </c>
      <c r="F756" s="16" t="s">
        <v>64</v>
      </c>
      <c r="G756" s="17" t="s">
        <v>2064</v>
      </c>
      <c r="H756" s="16"/>
      <c r="K756" s="14"/>
      <c r="L756" s="32"/>
      <c r="M756" s="14"/>
      <c r="N756" s="14"/>
    </row>
    <row r="757" spans="1:14" hidden="1">
      <c r="A757" s="102">
        <v>45988</v>
      </c>
      <c r="B757" s="16" t="s">
        <v>75</v>
      </c>
      <c r="C757" s="16" t="s">
        <v>92</v>
      </c>
      <c r="D757" s="16" t="s">
        <v>1816</v>
      </c>
      <c r="E757" s="16" t="s">
        <v>41</v>
      </c>
      <c r="F757" s="16" t="s">
        <v>77</v>
      </c>
      <c r="G757" s="17" t="s">
        <v>1868</v>
      </c>
      <c r="H757" s="16"/>
      <c r="K757" s="14"/>
      <c r="L757" s="32"/>
      <c r="M757" s="14"/>
      <c r="N757" s="14"/>
    </row>
    <row r="758" spans="1:14" ht="47.25" hidden="1">
      <c r="A758" s="102">
        <v>45988</v>
      </c>
      <c r="B758" s="16" t="s">
        <v>76</v>
      </c>
      <c r="C758" s="16" t="s">
        <v>414</v>
      </c>
      <c r="D758" s="16" t="s">
        <v>1692</v>
      </c>
      <c r="E758" s="16" t="s">
        <v>41</v>
      </c>
      <c r="F758" s="16" t="s">
        <v>77</v>
      </c>
      <c r="G758" s="17" t="s">
        <v>2065</v>
      </c>
      <c r="H758" s="16"/>
      <c r="K758" s="14"/>
      <c r="L758" s="32"/>
      <c r="M758" s="14"/>
      <c r="N758" s="14"/>
    </row>
    <row r="759" spans="1:14" hidden="1">
      <c r="A759" s="102">
        <v>45988</v>
      </c>
      <c r="B759" s="16" t="s">
        <v>91</v>
      </c>
      <c r="C759" s="16" t="s">
        <v>1572</v>
      </c>
      <c r="D759" s="16" t="s">
        <v>206</v>
      </c>
      <c r="E759" s="16" t="s">
        <v>41</v>
      </c>
      <c r="F759" s="16" t="s">
        <v>77</v>
      </c>
      <c r="G759" s="17" t="s">
        <v>2066</v>
      </c>
      <c r="H759" s="16"/>
      <c r="K759" s="14"/>
      <c r="L759" s="32"/>
      <c r="M759" s="14"/>
      <c r="N759" s="14"/>
    </row>
    <row r="760" spans="1:14" hidden="1">
      <c r="A760" s="102">
        <v>45989</v>
      </c>
      <c r="B760" s="16" t="s">
        <v>91</v>
      </c>
      <c r="C760" s="16" t="s">
        <v>2067</v>
      </c>
      <c r="D760" s="16" t="s">
        <v>206</v>
      </c>
      <c r="E760" s="16" t="s">
        <v>41</v>
      </c>
      <c r="F760" s="16" t="s">
        <v>77</v>
      </c>
      <c r="G760" s="17" t="s">
        <v>2068</v>
      </c>
      <c r="H760" s="16"/>
      <c r="K760" s="14"/>
      <c r="L760" s="32"/>
      <c r="M760" s="14"/>
      <c r="N760" s="14"/>
    </row>
    <row r="761" spans="1:14" hidden="1">
      <c r="A761" s="102">
        <v>45989</v>
      </c>
      <c r="B761" s="16" t="s">
        <v>91</v>
      </c>
      <c r="C761" s="16" t="s">
        <v>2069</v>
      </c>
      <c r="D761" s="16" t="s">
        <v>206</v>
      </c>
      <c r="E761" s="16" t="s">
        <v>41</v>
      </c>
      <c r="F761" s="16" t="s">
        <v>77</v>
      </c>
      <c r="G761" s="17" t="s">
        <v>2068</v>
      </c>
      <c r="H761" s="16"/>
      <c r="K761" s="14"/>
      <c r="L761" s="32"/>
      <c r="M761" s="14"/>
      <c r="N761" s="14"/>
    </row>
    <row r="762" spans="1:14" hidden="1">
      <c r="A762" s="102">
        <v>45989</v>
      </c>
      <c r="B762" s="16" t="s">
        <v>197</v>
      </c>
      <c r="C762" s="16" t="s">
        <v>407</v>
      </c>
      <c r="D762" s="16" t="s">
        <v>423</v>
      </c>
      <c r="E762" s="16" t="s">
        <v>41</v>
      </c>
      <c r="F762" s="16" t="s">
        <v>71</v>
      </c>
      <c r="G762" s="17" t="s">
        <v>2070</v>
      </c>
      <c r="H762" s="16"/>
      <c r="K762" s="14"/>
      <c r="L762" s="32"/>
      <c r="M762" s="14"/>
      <c r="N762" s="14"/>
    </row>
    <row r="763" spans="1:14" hidden="1">
      <c r="A763" s="102">
        <v>45989</v>
      </c>
      <c r="B763" s="16" t="s">
        <v>76</v>
      </c>
      <c r="C763" s="16" t="s">
        <v>414</v>
      </c>
      <c r="D763" s="16" t="s">
        <v>1512</v>
      </c>
      <c r="E763" s="16" t="s">
        <v>41</v>
      </c>
      <c r="F763" s="16" t="s">
        <v>77</v>
      </c>
      <c r="G763" s="17" t="s">
        <v>1385</v>
      </c>
      <c r="H763" s="16"/>
      <c r="K763" s="14"/>
      <c r="L763" s="32"/>
      <c r="M763" s="14"/>
      <c r="N763" s="14"/>
    </row>
    <row r="764" spans="1:14" hidden="1">
      <c r="A764" s="102">
        <v>45989</v>
      </c>
      <c r="B764" s="16" t="s">
        <v>91</v>
      </c>
      <c r="C764" s="16" t="s">
        <v>780</v>
      </c>
      <c r="D764" s="16" t="s">
        <v>1835</v>
      </c>
      <c r="E764" s="16" t="s">
        <v>41</v>
      </c>
      <c r="F764" s="16" t="s">
        <v>77</v>
      </c>
      <c r="G764" s="17" t="s">
        <v>1385</v>
      </c>
      <c r="H764" s="16"/>
      <c r="K764" s="14"/>
      <c r="L764" s="32"/>
      <c r="M764" s="14"/>
      <c r="N764" s="14"/>
    </row>
    <row r="765" spans="1:14" ht="47.25" hidden="1">
      <c r="A765" s="102">
        <v>45989</v>
      </c>
      <c r="B765" s="16" t="s">
        <v>75</v>
      </c>
      <c r="C765" s="16" t="s">
        <v>1589</v>
      </c>
      <c r="D765" s="16" t="s">
        <v>2071</v>
      </c>
      <c r="E765" s="16" t="s">
        <v>41</v>
      </c>
      <c r="F765" s="16" t="s">
        <v>64</v>
      </c>
      <c r="G765" s="17" t="s">
        <v>2072</v>
      </c>
      <c r="H765" s="16"/>
      <c r="K765" s="14"/>
      <c r="L765" s="32"/>
      <c r="M765" s="14"/>
      <c r="N765" s="14"/>
    </row>
    <row r="766" spans="1:14" hidden="1">
      <c r="A766" s="102">
        <v>45989</v>
      </c>
      <c r="B766" s="16" t="s">
        <v>91</v>
      </c>
      <c r="C766" s="16" t="s">
        <v>2073</v>
      </c>
      <c r="D766" s="16" t="s">
        <v>206</v>
      </c>
      <c r="E766" s="16" t="s">
        <v>41</v>
      </c>
      <c r="F766" s="16" t="s">
        <v>77</v>
      </c>
      <c r="G766" s="17" t="s">
        <v>2074</v>
      </c>
      <c r="H766" s="16"/>
      <c r="K766" s="14"/>
      <c r="L766" s="32"/>
      <c r="M766" s="14"/>
      <c r="N766" s="14"/>
    </row>
    <row r="767" spans="1:14" ht="78.75" hidden="1">
      <c r="A767" s="102">
        <v>45989</v>
      </c>
      <c r="B767" s="16" t="s">
        <v>76</v>
      </c>
      <c r="C767" s="16" t="s">
        <v>1589</v>
      </c>
      <c r="D767" s="16" t="s">
        <v>2075</v>
      </c>
      <c r="E767" s="16" t="s">
        <v>40</v>
      </c>
      <c r="F767" s="16" t="s">
        <v>77</v>
      </c>
      <c r="G767" s="17" t="s">
        <v>2076</v>
      </c>
      <c r="H767" s="16"/>
      <c r="K767" s="14"/>
      <c r="L767" s="32"/>
      <c r="M767" s="14"/>
      <c r="N767" s="14"/>
    </row>
    <row r="768" spans="1:14" ht="283.5" hidden="1">
      <c r="A768" s="102">
        <v>45989</v>
      </c>
      <c r="B768" s="16" t="s">
        <v>75</v>
      </c>
      <c r="C768" s="16" t="s">
        <v>1227</v>
      </c>
      <c r="D768" s="16" t="s">
        <v>1946</v>
      </c>
      <c r="E768" s="16" t="s">
        <v>40</v>
      </c>
      <c r="F768" s="16" t="s">
        <v>71</v>
      </c>
      <c r="G768" s="17" t="s">
        <v>2077</v>
      </c>
      <c r="H768" s="16"/>
      <c r="K768" s="14"/>
      <c r="L768" s="32"/>
      <c r="M768" s="14"/>
      <c r="N768" s="14"/>
    </row>
    <row r="769" spans="1:14" hidden="1">
      <c r="A769" s="102"/>
      <c r="B769" s="16"/>
      <c r="C769" s="16"/>
      <c r="D769" s="16"/>
      <c r="E769" s="16"/>
      <c r="F769" s="16"/>
      <c r="G769" s="17"/>
      <c r="H769" s="16"/>
      <c r="K769" s="14"/>
      <c r="L769" s="32"/>
      <c r="M769" s="14"/>
      <c r="N769" s="14"/>
    </row>
    <row r="770" spans="1:14" hidden="1">
      <c r="A770" s="102"/>
      <c r="B770" s="16"/>
      <c r="C770" s="16"/>
      <c r="D770" s="16"/>
      <c r="E770" s="16"/>
      <c r="F770" s="16"/>
      <c r="G770" s="17"/>
      <c r="H770" s="16"/>
      <c r="K770" s="14"/>
      <c r="L770" s="32"/>
      <c r="M770" s="14"/>
      <c r="N770" s="14"/>
    </row>
    <row r="771" spans="1:14" hidden="1">
      <c r="A771" s="102"/>
      <c r="B771" s="16"/>
      <c r="C771" s="16"/>
      <c r="D771" s="16"/>
      <c r="E771" s="16"/>
      <c r="F771" s="16"/>
      <c r="G771" s="17"/>
      <c r="H771" s="16"/>
      <c r="K771" s="14"/>
      <c r="L771" s="32"/>
      <c r="M771" s="14"/>
      <c r="N771" s="14"/>
    </row>
    <row r="772" spans="1:14" hidden="1">
      <c r="A772" s="102"/>
      <c r="B772" s="16"/>
      <c r="C772" s="16"/>
      <c r="D772" s="16"/>
      <c r="E772" s="16"/>
      <c r="F772" s="16"/>
      <c r="G772" s="17"/>
      <c r="H772" s="16"/>
      <c r="K772" s="14"/>
      <c r="L772" s="32"/>
      <c r="M772" s="14"/>
      <c r="N772" s="14"/>
    </row>
    <row r="773" spans="1:14" hidden="1">
      <c r="A773" s="102"/>
      <c r="B773" s="16"/>
      <c r="C773" s="16"/>
      <c r="D773" s="16"/>
      <c r="E773" s="16"/>
      <c r="F773" s="16"/>
      <c r="G773" s="17"/>
      <c r="H773" s="16"/>
      <c r="K773" s="14"/>
      <c r="L773" s="32"/>
      <c r="M773" s="14"/>
      <c r="N773" s="14"/>
    </row>
    <row r="774" spans="1:14" hidden="1">
      <c r="A774" s="102"/>
      <c r="B774" s="16"/>
      <c r="C774" s="16"/>
      <c r="D774" s="16"/>
      <c r="E774" s="16"/>
      <c r="F774" s="16"/>
      <c r="G774" s="17"/>
      <c r="H774" s="16"/>
      <c r="K774" s="14"/>
      <c r="L774" s="32"/>
      <c r="M774" s="14"/>
      <c r="N774" s="14"/>
    </row>
    <row r="775" spans="1:14" hidden="1">
      <c r="A775" s="102"/>
      <c r="B775" s="16"/>
      <c r="C775" s="16"/>
      <c r="D775" s="16"/>
      <c r="E775" s="16"/>
      <c r="F775" s="16"/>
      <c r="G775" s="17"/>
      <c r="H775" s="16"/>
      <c r="K775" s="14"/>
      <c r="L775" s="32"/>
      <c r="M775" s="14"/>
      <c r="N775" s="14"/>
    </row>
    <row r="776" spans="1:14" hidden="1">
      <c r="A776" s="102"/>
      <c r="B776" s="16"/>
      <c r="C776" s="16"/>
      <c r="D776" s="16"/>
      <c r="E776" s="16"/>
      <c r="F776" s="16"/>
      <c r="G776" s="17"/>
      <c r="H776" s="16"/>
      <c r="K776" s="14"/>
      <c r="L776" s="32"/>
      <c r="M776" s="14"/>
      <c r="N776" s="14"/>
    </row>
    <row r="777" spans="1:14" hidden="1">
      <c r="A777" s="102"/>
      <c r="B777" s="16"/>
      <c r="C777" s="16"/>
      <c r="D777" s="16"/>
      <c r="E777" s="16"/>
      <c r="F777" s="16"/>
      <c r="G777" s="17"/>
      <c r="H777" s="16"/>
      <c r="K777" s="14"/>
      <c r="L777" s="32"/>
      <c r="M777" s="14"/>
      <c r="N777" s="14"/>
    </row>
    <row r="778" spans="1:14" hidden="1"/>
    <row r="779" spans="1:14" hidden="1">
      <c r="A779" s="3" t="s">
        <v>70</v>
      </c>
      <c r="B779" s="4" t="s">
        <v>72</v>
      </c>
      <c r="C779" s="4" t="s">
        <v>16</v>
      </c>
      <c r="D779" s="34" t="s">
        <v>155</v>
      </c>
      <c r="E779" s="9" t="s">
        <v>156</v>
      </c>
      <c r="F779" s="10" t="s">
        <v>157</v>
      </c>
    </row>
    <row r="780" spans="1:14" hidden="1">
      <c r="A780" s="135" t="s">
        <v>63</v>
      </c>
      <c r="B780" s="99" t="s">
        <v>68</v>
      </c>
      <c r="C780" s="99">
        <v>11</v>
      </c>
      <c r="D780" s="99">
        <f>C780</f>
        <v>11</v>
      </c>
      <c r="E780" s="138">
        <f>D780+D782+D784</f>
        <v>14.333333333333334</v>
      </c>
      <c r="F780" s="141">
        <f>E780/12</f>
        <v>1.1944444444444444</v>
      </c>
    </row>
    <row r="781" spans="1:14" hidden="1">
      <c r="A781" s="136"/>
      <c r="B781" s="144" t="s">
        <v>65</v>
      </c>
      <c r="C781" s="144">
        <v>10</v>
      </c>
      <c r="D781" s="35" t="s">
        <v>158</v>
      </c>
      <c r="E781" s="139"/>
      <c r="F781" s="142"/>
    </row>
    <row r="782" spans="1:14" hidden="1">
      <c r="A782" s="136"/>
      <c r="B782" s="145"/>
      <c r="C782" s="145"/>
      <c r="D782" s="16">
        <f>C781/3</f>
        <v>3.3333333333333335</v>
      </c>
      <c r="E782" s="139"/>
      <c r="F782" s="142"/>
    </row>
    <row r="783" spans="1:14" hidden="1">
      <c r="A783" s="136"/>
      <c r="B783" s="144" t="s">
        <v>69</v>
      </c>
      <c r="C783" s="144">
        <v>27</v>
      </c>
      <c r="D783" s="35" t="s">
        <v>159</v>
      </c>
      <c r="E783" s="139"/>
      <c r="F783" s="142"/>
    </row>
    <row r="784" spans="1:14" hidden="1">
      <c r="A784" s="137"/>
      <c r="B784" s="145"/>
      <c r="C784" s="145"/>
      <c r="D784" s="16">
        <v>0</v>
      </c>
      <c r="E784" s="140"/>
      <c r="F784" s="143"/>
    </row>
    <row r="785" spans="1:14" hidden="1">
      <c r="A785" s="36" t="s">
        <v>70</v>
      </c>
      <c r="B785" s="37" t="s">
        <v>72</v>
      </c>
      <c r="C785" s="37" t="s">
        <v>16</v>
      </c>
      <c r="D785" s="146" t="s">
        <v>160</v>
      </c>
      <c r="E785" s="147"/>
      <c r="F785" s="148"/>
    </row>
    <row r="786" spans="1:14" hidden="1">
      <c r="A786" s="149" t="s">
        <v>62</v>
      </c>
      <c r="B786" s="16" t="s">
        <v>68</v>
      </c>
      <c r="C786" s="16">
        <v>4</v>
      </c>
      <c r="D786" s="151">
        <f>C786/9</f>
        <v>0.44444444444444442</v>
      </c>
      <c r="E786" s="152"/>
      <c r="F786" s="153"/>
    </row>
    <row r="787" spans="1:14" ht="16.5" hidden="1" thickBot="1">
      <c r="A787" s="150"/>
      <c r="B787" s="20" t="s">
        <v>69</v>
      </c>
      <c r="C787" s="20">
        <v>3</v>
      </c>
      <c r="D787" s="154"/>
      <c r="E787" s="155"/>
      <c r="F787" s="156"/>
    </row>
    <row r="788" spans="1:14" hidden="1"/>
    <row r="789" spans="1:14" hidden="1">
      <c r="A789" t="s">
        <v>2078</v>
      </c>
    </row>
    <row r="790" spans="1:14" hidden="1">
      <c r="A790" s="37" t="s">
        <v>58</v>
      </c>
      <c r="B790" s="37" t="s">
        <v>67</v>
      </c>
      <c r="C790" s="37" t="s">
        <v>3</v>
      </c>
      <c r="D790" s="37" t="s">
        <v>57</v>
      </c>
      <c r="E790" s="37" t="s">
        <v>59</v>
      </c>
      <c r="F790" s="37" t="s">
        <v>61</v>
      </c>
      <c r="G790" s="37" t="s">
        <v>60</v>
      </c>
      <c r="H790" s="37" t="s">
        <v>66</v>
      </c>
      <c r="K790" s="14"/>
      <c r="L790" s="14"/>
      <c r="M790" s="32"/>
      <c r="N790" s="14"/>
    </row>
    <row r="791" spans="1:14" hidden="1">
      <c r="A791" s="102">
        <v>45993</v>
      </c>
      <c r="B791" s="16" t="s">
        <v>75</v>
      </c>
      <c r="C791" s="16" t="s">
        <v>2079</v>
      </c>
      <c r="D791" s="16" t="s">
        <v>1361</v>
      </c>
      <c r="E791" s="16" t="s">
        <v>41</v>
      </c>
      <c r="F791" s="16" t="s">
        <v>64</v>
      </c>
      <c r="G791" s="17" t="s">
        <v>2080</v>
      </c>
      <c r="H791" s="16"/>
      <c r="K791" s="14"/>
      <c r="L791" s="32"/>
      <c r="M791" s="14"/>
      <c r="N791" s="32"/>
    </row>
    <row r="792" spans="1:14" hidden="1">
      <c r="A792" s="102">
        <v>45993</v>
      </c>
      <c r="B792" s="16" t="s">
        <v>91</v>
      </c>
      <c r="C792" s="16" t="s">
        <v>1810</v>
      </c>
      <c r="D792" s="16" t="s">
        <v>1971</v>
      </c>
      <c r="E792" s="16" t="s">
        <v>41</v>
      </c>
      <c r="F792" s="16" t="s">
        <v>77</v>
      </c>
      <c r="G792" s="17" t="s">
        <v>613</v>
      </c>
      <c r="H792" s="16"/>
      <c r="K792" s="14"/>
      <c r="L792" s="32"/>
      <c r="M792" s="14"/>
      <c r="N792" s="32"/>
    </row>
    <row r="793" spans="1:14" hidden="1">
      <c r="A793" s="102">
        <v>45993</v>
      </c>
      <c r="B793" s="16" t="s">
        <v>75</v>
      </c>
      <c r="C793" s="16" t="s">
        <v>1294</v>
      </c>
      <c r="D793" s="16" t="s">
        <v>1295</v>
      </c>
      <c r="E793" s="16" t="s">
        <v>41</v>
      </c>
      <c r="F793" s="16" t="s">
        <v>77</v>
      </c>
      <c r="G793" s="17" t="s">
        <v>2081</v>
      </c>
      <c r="H793" s="16"/>
      <c r="K793" s="14"/>
      <c r="L793" s="32"/>
      <c r="M793" s="14"/>
      <c r="N793" s="32"/>
    </row>
    <row r="794" spans="1:14" hidden="1">
      <c r="A794" s="102">
        <v>45993</v>
      </c>
      <c r="B794" s="16" t="s">
        <v>75</v>
      </c>
      <c r="C794" s="16" t="s">
        <v>1843</v>
      </c>
      <c r="D794" s="16" t="s">
        <v>1439</v>
      </c>
      <c r="E794" s="16" t="s">
        <v>41</v>
      </c>
      <c r="F794" s="16" t="s">
        <v>77</v>
      </c>
      <c r="G794" s="17" t="s">
        <v>2082</v>
      </c>
      <c r="H794" s="16"/>
      <c r="K794" s="14"/>
      <c r="L794" s="32"/>
      <c r="M794" s="14"/>
      <c r="N794" s="32"/>
    </row>
    <row r="795" spans="1:14" hidden="1">
      <c r="A795" s="102">
        <v>45993</v>
      </c>
      <c r="B795" s="16" t="s">
        <v>75</v>
      </c>
      <c r="C795" s="16" t="s">
        <v>1505</v>
      </c>
      <c r="D795" s="16" t="s">
        <v>2083</v>
      </c>
      <c r="E795" s="16" t="s">
        <v>41</v>
      </c>
      <c r="F795" s="16" t="s">
        <v>77</v>
      </c>
      <c r="G795" s="17" t="s">
        <v>2084</v>
      </c>
      <c r="H795" s="16"/>
      <c r="K795" s="14"/>
      <c r="L795" s="32"/>
      <c r="M795" s="14"/>
      <c r="N795" s="32"/>
    </row>
    <row r="796" spans="1:14" hidden="1">
      <c r="A796" s="102">
        <v>45993</v>
      </c>
      <c r="B796" s="16" t="s">
        <v>75</v>
      </c>
      <c r="C796" s="16" t="s">
        <v>1507</v>
      </c>
      <c r="D796" s="16" t="s">
        <v>1821</v>
      </c>
      <c r="E796" s="16" t="s">
        <v>41</v>
      </c>
      <c r="F796" s="16" t="s">
        <v>77</v>
      </c>
      <c r="G796" s="17" t="s">
        <v>2085</v>
      </c>
      <c r="H796" s="16"/>
      <c r="K796" s="14"/>
      <c r="L796" s="32"/>
      <c r="M796" s="14"/>
      <c r="N796" s="32"/>
    </row>
    <row r="797" spans="1:14" ht="31.5" hidden="1">
      <c r="A797" s="102">
        <v>45993</v>
      </c>
      <c r="B797" s="16" t="s">
        <v>75</v>
      </c>
      <c r="C797" s="16" t="s">
        <v>1452</v>
      </c>
      <c r="D797" s="16" t="s">
        <v>1483</v>
      </c>
      <c r="E797" s="16" t="s">
        <v>41</v>
      </c>
      <c r="F797" s="16" t="s">
        <v>64</v>
      </c>
      <c r="G797" s="17" t="s">
        <v>2086</v>
      </c>
      <c r="H797" s="16"/>
      <c r="K797" s="14"/>
      <c r="L797" s="14"/>
      <c r="M797" s="14"/>
      <c r="N797" s="14"/>
    </row>
    <row r="798" spans="1:14" hidden="1">
      <c r="A798" s="102">
        <v>45993</v>
      </c>
      <c r="B798" s="16" t="s">
        <v>76</v>
      </c>
      <c r="C798" s="16" t="s">
        <v>1236</v>
      </c>
      <c r="D798" s="16" t="s">
        <v>1345</v>
      </c>
      <c r="E798" s="16" t="s">
        <v>41</v>
      </c>
      <c r="F798" s="16" t="s">
        <v>64</v>
      </c>
      <c r="G798" s="17" t="s">
        <v>2087</v>
      </c>
      <c r="H798" s="16"/>
      <c r="K798" s="14"/>
      <c r="L798" s="14"/>
      <c r="M798" s="14"/>
      <c r="N798" s="14"/>
    </row>
    <row r="799" spans="1:14" ht="31.5" hidden="1">
      <c r="A799" s="102">
        <v>45993</v>
      </c>
      <c r="B799" s="16" t="s">
        <v>197</v>
      </c>
      <c r="C799" s="16" t="s">
        <v>1202</v>
      </c>
      <c r="D799" s="16" t="s">
        <v>1860</v>
      </c>
      <c r="E799" s="16" t="s">
        <v>41</v>
      </c>
      <c r="F799" s="16" t="s">
        <v>77</v>
      </c>
      <c r="G799" s="17" t="s">
        <v>2088</v>
      </c>
      <c r="H799" s="16"/>
      <c r="K799" s="14"/>
      <c r="L799" s="14"/>
      <c r="M799" s="14"/>
      <c r="N799" s="14"/>
    </row>
    <row r="800" spans="1:14" hidden="1">
      <c r="A800" s="102">
        <v>45993</v>
      </c>
      <c r="B800" s="16" t="s">
        <v>75</v>
      </c>
      <c r="C800" s="16" t="s">
        <v>1244</v>
      </c>
      <c r="D800" s="16" t="s">
        <v>1967</v>
      </c>
      <c r="E800" s="16" t="s">
        <v>41</v>
      </c>
      <c r="F800" s="16" t="s">
        <v>64</v>
      </c>
      <c r="G800" s="17" t="s">
        <v>2089</v>
      </c>
      <c r="H800" s="16"/>
      <c r="K800" s="14"/>
      <c r="L800" s="14"/>
      <c r="M800" s="14"/>
      <c r="N800" s="14"/>
    </row>
    <row r="801" spans="1:14" hidden="1">
      <c r="A801" s="102">
        <v>45996</v>
      </c>
      <c r="B801" s="16" t="s">
        <v>76</v>
      </c>
      <c r="C801" s="16" t="s">
        <v>414</v>
      </c>
      <c r="D801" s="16" t="s">
        <v>1512</v>
      </c>
      <c r="E801" s="16" t="s">
        <v>41</v>
      </c>
      <c r="F801" s="16" t="s">
        <v>77</v>
      </c>
      <c r="G801" s="17" t="s">
        <v>1385</v>
      </c>
      <c r="H801" s="16"/>
      <c r="K801" s="14"/>
      <c r="L801" s="32"/>
      <c r="M801" s="14"/>
      <c r="N801" s="14"/>
    </row>
    <row r="802" spans="1:14" hidden="1">
      <c r="A802" s="102">
        <v>45996</v>
      </c>
      <c r="B802" s="16" t="s">
        <v>91</v>
      </c>
      <c r="C802" s="16" t="s">
        <v>2069</v>
      </c>
      <c r="D802" s="16" t="s">
        <v>206</v>
      </c>
      <c r="E802" s="16" t="s">
        <v>41</v>
      </c>
      <c r="F802" s="16" t="s">
        <v>77</v>
      </c>
      <c r="G802" s="17" t="s">
        <v>2090</v>
      </c>
      <c r="H802" s="16"/>
      <c r="K802" s="14"/>
      <c r="L802" s="32"/>
      <c r="M802" s="14"/>
      <c r="N802" s="14"/>
    </row>
    <row r="803" spans="1:14" ht="94.5" hidden="1">
      <c r="A803" s="102">
        <v>45994</v>
      </c>
      <c r="B803" s="16" t="s">
        <v>75</v>
      </c>
      <c r="C803" s="16" t="s">
        <v>979</v>
      </c>
      <c r="D803" s="16" t="s">
        <v>1259</v>
      </c>
      <c r="E803" s="16" t="s">
        <v>40</v>
      </c>
      <c r="F803" s="16" t="s">
        <v>71</v>
      </c>
      <c r="G803" s="17" t="s">
        <v>2091</v>
      </c>
      <c r="H803" s="16"/>
      <c r="K803" s="14"/>
      <c r="L803" s="32"/>
      <c r="M803" s="14"/>
      <c r="N803" s="32"/>
    </row>
    <row r="804" spans="1:14" hidden="1">
      <c r="A804" s="102">
        <v>45994</v>
      </c>
      <c r="B804" s="16" t="s">
        <v>76</v>
      </c>
      <c r="C804" s="16" t="s">
        <v>458</v>
      </c>
      <c r="D804" s="16" t="s">
        <v>2092</v>
      </c>
      <c r="E804" s="16" t="s">
        <v>40</v>
      </c>
      <c r="F804" s="16" t="s">
        <v>71</v>
      </c>
      <c r="G804" s="17" t="s">
        <v>2093</v>
      </c>
      <c r="H804" s="16"/>
      <c r="K804" s="14"/>
      <c r="L804" s="32"/>
      <c r="M804" s="14"/>
      <c r="N804" s="32"/>
    </row>
    <row r="805" spans="1:14" hidden="1">
      <c r="A805" s="102">
        <v>45994</v>
      </c>
      <c r="B805" s="16" t="s">
        <v>76</v>
      </c>
      <c r="C805" s="16" t="s">
        <v>176</v>
      </c>
      <c r="D805" s="16" t="s">
        <v>2094</v>
      </c>
      <c r="E805" s="16" t="s">
        <v>40</v>
      </c>
      <c r="F805" s="16" t="s">
        <v>71</v>
      </c>
      <c r="G805" s="17" t="s">
        <v>2093</v>
      </c>
      <c r="H805" s="16"/>
      <c r="K805" s="14"/>
      <c r="L805" s="32"/>
      <c r="M805" s="14"/>
      <c r="N805" s="32"/>
    </row>
    <row r="806" spans="1:14" ht="78.75" hidden="1">
      <c r="A806" s="102">
        <v>45994</v>
      </c>
      <c r="B806" s="16" t="s">
        <v>75</v>
      </c>
      <c r="C806" s="16" t="s">
        <v>1233</v>
      </c>
      <c r="D806" s="16" t="s">
        <v>1242</v>
      </c>
      <c r="E806" s="16" t="s">
        <v>41</v>
      </c>
      <c r="F806" s="16" t="s">
        <v>71</v>
      </c>
      <c r="G806" s="17" t="s">
        <v>2095</v>
      </c>
      <c r="H806" s="16"/>
      <c r="K806" s="14"/>
      <c r="L806" s="32"/>
      <c r="M806" s="14"/>
      <c r="N806" s="32"/>
    </row>
    <row r="807" spans="1:14" ht="47.25" hidden="1">
      <c r="A807" s="102">
        <v>45994</v>
      </c>
      <c r="B807" s="16" t="s">
        <v>91</v>
      </c>
      <c r="C807" s="16" t="s">
        <v>1905</v>
      </c>
      <c r="D807" s="16" t="s">
        <v>1906</v>
      </c>
      <c r="E807" s="16" t="s">
        <v>41</v>
      </c>
      <c r="F807" s="16" t="s">
        <v>77</v>
      </c>
      <c r="G807" s="17" t="s">
        <v>2096</v>
      </c>
      <c r="H807" s="16"/>
      <c r="K807" s="14"/>
      <c r="L807" s="32"/>
      <c r="M807" s="14"/>
      <c r="N807" s="14"/>
    </row>
    <row r="808" spans="1:14" ht="31.5" hidden="1">
      <c r="A808" s="102">
        <v>45994</v>
      </c>
      <c r="B808" s="16" t="s">
        <v>75</v>
      </c>
      <c r="C808" s="16" t="s">
        <v>1247</v>
      </c>
      <c r="D808" s="16" t="s">
        <v>1248</v>
      </c>
      <c r="E808" s="16" t="s">
        <v>41</v>
      </c>
      <c r="F808" s="16" t="s">
        <v>64</v>
      </c>
      <c r="G808" s="17" t="s">
        <v>2097</v>
      </c>
      <c r="H808" s="16"/>
      <c r="K808" s="14"/>
      <c r="L808" s="14"/>
      <c r="M808" s="14"/>
      <c r="N808" s="14"/>
    </row>
    <row r="809" spans="1:14" ht="126" hidden="1">
      <c r="A809" s="102">
        <v>45995</v>
      </c>
      <c r="B809" s="16" t="s">
        <v>75</v>
      </c>
      <c r="C809" s="16" t="s">
        <v>1256</v>
      </c>
      <c r="D809" s="16" t="s">
        <v>2098</v>
      </c>
      <c r="E809" s="16" t="s">
        <v>40</v>
      </c>
      <c r="F809" s="16" t="s">
        <v>71</v>
      </c>
      <c r="G809" s="17" t="s">
        <v>2099</v>
      </c>
      <c r="H809" s="16"/>
      <c r="K809" s="14"/>
      <c r="L809" s="14"/>
      <c r="M809" s="14"/>
      <c r="N809" s="14"/>
    </row>
    <row r="810" spans="1:14" hidden="1">
      <c r="A810" s="102">
        <v>45995</v>
      </c>
      <c r="B810" s="16" t="s">
        <v>76</v>
      </c>
      <c r="C810" s="16" t="s">
        <v>477</v>
      </c>
      <c r="D810" s="16" t="s">
        <v>2100</v>
      </c>
      <c r="E810" s="16" t="s">
        <v>40</v>
      </c>
      <c r="F810" s="16" t="s">
        <v>71</v>
      </c>
      <c r="G810" s="17" t="s">
        <v>2093</v>
      </c>
      <c r="H810" s="16"/>
      <c r="K810" s="14"/>
      <c r="L810" s="32"/>
      <c r="M810" s="14"/>
      <c r="N810" s="32"/>
    </row>
    <row r="811" spans="1:14" ht="63" hidden="1">
      <c r="A811" s="102">
        <v>45995</v>
      </c>
      <c r="B811" s="16" t="s">
        <v>91</v>
      </c>
      <c r="C811" s="16" t="s">
        <v>561</v>
      </c>
      <c r="D811" s="16" t="s">
        <v>2101</v>
      </c>
      <c r="E811" s="16" t="s">
        <v>41</v>
      </c>
      <c r="F811" s="16" t="s">
        <v>77</v>
      </c>
      <c r="G811" s="17" t="s">
        <v>2102</v>
      </c>
      <c r="H811" s="16"/>
      <c r="K811" s="14"/>
      <c r="L811" s="14"/>
      <c r="M811" s="14"/>
      <c r="N811" s="32"/>
    </row>
    <row r="812" spans="1:14" hidden="1">
      <c r="A812" s="102">
        <v>45995</v>
      </c>
      <c r="B812" s="16" t="s">
        <v>75</v>
      </c>
      <c r="C812" s="16" t="s">
        <v>561</v>
      </c>
      <c r="D812" s="16" t="s">
        <v>2103</v>
      </c>
      <c r="E812" s="16" t="s">
        <v>41</v>
      </c>
      <c r="F812" s="16" t="s">
        <v>77</v>
      </c>
      <c r="G812" s="32" t="s">
        <v>1385</v>
      </c>
      <c r="H812" s="16"/>
      <c r="K812" s="14"/>
      <c r="L812" s="14"/>
      <c r="M812" s="14"/>
      <c r="N812" s="32"/>
    </row>
    <row r="813" spans="1:14" ht="47.25" hidden="1">
      <c r="A813" s="102">
        <v>45995</v>
      </c>
      <c r="B813" s="16" t="s">
        <v>75</v>
      </c>
      <c r="C813" s="14" t="s">
        <v>780</v>
      </c>
      <c r="D813" s="16" t="s">
        <v>1835</v>
      </c>
      <c r="E813" s="16" t="s">
        <v>41</v>
      </c>
      <c r="F813" s="16" t="s">
        <v>77</v>
      </c>
      <c r="G813" s="17" t="s">
        <v>2104</v>
      </c>
      <c r="H813" s="16"/>
      <c r="K813" s="14"/>
      <c r="L813" s="32"/>
      <c r="M813" s="14"/>
      <c r="N813" s="14"/>
    </row>
    <row r="814" spans="1:14" ht="110.25" hidden="1">
      <c r="A814" s="102">
        <v>45996</v>
      </c>
      <c r="B814" s="16" t="s">
        <v>91</v>
      </c>
      <c r="C814" s="16" t="s">
        <v>1793</v>
      </c>
      <c r="D814" s="16" t="s">
        <v>1897</v>
      </c>
      <c r="E814" s="16" t="s">
        <v>40</v>
      </c>
      <c r="F814" s="16" t="s">
        <v>71</v>
      </c>
      <c r="G814" s="17" t="s">
        <v>2105</v>
      </c>
      <c r="H814" s="16"/>
      <c r="K814" s="14"/>
      <c r="L814" s="14"/>
      <c r="M814" s="14"/>
      <c r="N814" s="14"/>
    </row>
    <row r="815" spans="1:14" hidden="1">
      <c r="A815" s="102">
        <v>45996</v>
      </c>
      <c r="B815" s="16" t="s">
        <v>91</v>
      </c>
      <c r="C815" s="16" t="s">
        <v>2067</v>
      </c>
      <c r="D815" s="16" t="s">
        <v>206</v>
      </c>
      <c r="E815" s="16" t="s">
        <v>41</v>
      </c>
      <c r="F815" s="16" t="s">
        <v>77</v>
      </c>
      <c r="G815" s="17" t="s">
        <v>2068</v>
      </c>
      <c r="H815" s="16"/>
      <c r="K815" s="14"/>
      <c r="L815" s="32"/>
      <c r="M815" s="14"/>
      <c r="N815" s="14"/>
    </row>
    <row r="816" spans="1:14" hidden="1">
      <c r="A816" s="102"/>
      <c r="B816" s="16"/>
      <c r="C816" s="16"/>
      <c r="D816" s="16"/>
      <c r="E816" s="16"/>
      <c r="F816" s="16"/>
      <c r="G816" s="17"/>
      <c r="H816" s="16"/>
      <c r="K816" s="14"/>
      <c r="L816" s="32"/>
      <c r="M816" s="14"/>
      <c r="N816" s="14"/>
    </row>
    <row r="817" spans="1:14" hidden="1">
      <c r="A817" s="102"/>
      <c r="B817" s="16"/>
      <c r="C817" s="16"/>
      <c r="D817" s="16"/>
      <c r="E817" s="16"/>
      <c r="F817" s="16"/>
      <c r="G817" s="17"/>
      <c r="H817" s="16"/>
      <c r="K817" s="14"/>
      <c r="L817" s="32"/>
      <c r="M817" s="14"/>
      <c r="N817" s="14"/>
    </row>
    <row r="818" spans="1:14" hidden="1">
      <c r="A818" s="102"/>
      <c r="B818" s="16"/>
      <c r="C818" s="16"/>
      <c r="D818" s="16"/>
      <c r="E818" s="16"/>
      <c r="F818" s="16"/>
      <c r="G818" s="17"/>
      <c r="H818" s="16"/>
      <c r="K818" s="14"/>
      <c r="L818" s="32"/>
      <c r="M818" s="14"/>
      <c r="N818" s="14"/>
    </row>
    <row r="819" spans="1:14" hidden="1">
      <c r="A819" s="102"/>
      <c r="B819" s="16"/>
      <c r="C819" s="16"/>
      <c r="D819" s="16"/>
      <c r="E819" s="16"/>
      <c r="F819" s="16"/>
      <c r="G819" s="17"/>
      <c r="H819" s="16"/>
      <c r="K819" s="14"/>
      <c r="L819" s="32"/>
      <c r="M819" s="14"/>
      <c r="N819" s="14"/>
    </row>
    <row r="820" spans="1:14" hidden="1">
      <c r="A820" s="102"/>
      <c r="B820" s="16"/>
      <c r="C820" s="16"/>
      <c r="D820" s="16"/>
      <c r="E820" s="16"/>
      <c r="F820" s="16"/>
      <c r="G820" s="17"/>
      <c r="H820" s="16"/>
      <c r="K820" s="14"/>
      <c r="L820" s="32"/>
      <c r="M820" s="14"/>
      <c r="N820" s="14"/>
    </row>
    <row r="821" spans="1:14" hidden="1">
      <c r="A821" s="102"/>
      <c r="B821" s="16"/>
      <c r="C821" s="16"/>
      <c r="D821" s="16"/>
      <c r="E821" s="16"/>
      <c r="F821" s="16"/>
      <c r="G821" s="17"/>
      <c r="H821" s="16"/>
      <c r="K821" s="14"/>
      <c r="L821" s="32"/>
      <c r="M821" s="14"/>
      <c r="N821" s="14"/>
    </row>
    <row r="822" spans="1:14" hidden="1">
      <c r="A822" s="102"/>
      <c r="B822" s="16"/>
      <c r="C822" s="16"/>
      <c r="D822" s="16"/>
      <c r="E822" s="16"/>
      <c r="F822" s="16"/>
      <c r="G822" s="17"/>
      <c r="H822" s="16"/>
      <c r="K822" s="14"/>
      <c r="L822" s="32"/>
      <c r="M822" s="14"/>
      <c r="N822" s="14"/>
    </row>
    <row r="823" spans="1:14" hidden="1">
      <c r="A823" s="102"/>
      <c r="B823" s="16"/>
      <c r="C823" s="16"/>
      <c r="D823" s="16"/>
      <c r="E823" s="16"/>
      <c r="F823" s="16"/>
      <c r="G823" s="17"/>
      <c r="H823" s="16"/>
      <c r="K823" s="14"/>
      <c r="L823" s="32"/>
      <c r="M823" s="14"/>
      <c r="N823" s="14"/>
    </row>
    <row r="824" spans="1:14" hidden="1">
      <c r="A824" s="102"/>
      <c r="B824" s="16"/>
      <c r="C824" s="16"/>
      <c r="D824" s="16"/>
      <c r="E824" s="16"/>
      <c r="F824" s="16"/>
      <c r="G824" s="17"/>
      <c r="H824" s="16"/>
      <c r="K824" s="14"/>
      <c r="L824" s="32"/>
      <c r="M824" s="14"/>
      <c r="N824" s="14"/>
    </row>
    <row r="825" spans="1:14" hidden="1">
      <c r="A825" s="102"/>
      <c r="B825" s="16"/>
      <c r="C825" s="16"/>
      <c r="D825" s="16"/>
      <c r="E825" s="16"/>
      <c r="F825" s="16"/>
      <c r="G825" s="17"/>
      <c r="H825" s="16"/>
      <c r="K825" s="14"/>
      <c r="L825" s="32"/>
      <c r="M825" s="14"/>
      <c r="N825" s="14"/>
    </row>
    <row r="826" spans="1:14" hidden="1">
      <c r="A826" s="102"/>
      <c r="B826" s="16"/>
      <c r="C826" s="16"/>
      <c r="D826" s="16"/>
      <c r="E826" s="16"/>
      <c r="F826" s="16"/>
      <c r="G826" s="17"/>
      <c r="H826" s="16"/>
      <c r="K826" s="14"/>
      <c r="L826" s="32"/>
      <c r="M826" s="14"/>
      <c r="N826" s="14"/>
    </row>
    <row r="827" spans="1:14" hidden="1">
      <c r="A827" s="102"/>
      <c r="B827" s="16"/>
      <c r="C827" s="16"/>
      <c r="D827" s="16"/>
      <c r="E827" s="16"/>
      <c r="F827" s="16"/>
      <c r="G827" s="17"/>
      <c r="H827" s="16"/>
      <c r="K827" s="14"/>
      <c r="L827" s="32"/>
      <c r="M827" s="14"/>
      <c r="N827" s="14"/>
    </row>
    <row r="828" spans="1:14" hidden="1"/>
    <row r="829" spans="1:14" hidden="1">
      <c r="A829" s="3" t="s">
        <v>70</v>
      </c>
      <c r="B829" s="4" t="s">
        <v>72</v>
      </c>
      <c r="C829" s="4" t="s">
        <v>16</v>
      </c>
      <c r="D829" s="34" t="s">
        <v>155</v>
      </c>
      <c r="E829" s="9" t="s">
        <v>156</v>
      </c>
      <c r="F829" s="10" t="s">
        <v>157</v>
      </c>
    </row>
    <row r="830" spans="1:14" hidden="1">
      <c r="A830" s="135" t="s">
        <v>63</v>
      </c>
      <c r="B830" s="99" t="s">
        <v>68</v>
      </c>
      <c r="C830" s="99">
        <v>1</v>
      </c>
      <c r="D830" s="99">
        <f>C830</f>
        <v>1</v>
      </c>
      <c r="E830" s="138">
        <f>D830+D832+D834</f>
        <v>2.666666666666667</v>
      </c>
      <c r="F830" s="141">
        <f>E830/12</f>
        <v>0.22222222222222224</v>
      </c>
    </row>
    <row r="831" spans="1:14" hidden="1">
      <c r="A831" s="136"/>
      <c r="B831" s="144" t="s">
        <v>65</v>
      </c>
      <c r="C831" s="144">
        <v>5</v>
      </c>
      <c r="D831" s="35" t="s">
        <v>158</v>
      </c>
      <c r="E831" s="139"/>
      <c r="F831" s="142"/>
    </row>
    <row r="832" spans="1:14" hidden="1">
      <c r="A832" s="136"/>
      <c r="B832" s="145"/>
      <c r="C832" s="145"/>
      <c r="D832" s="16">
        <f>C831/3</f>
        <v>1.6666666666666667</v>
      </c>
      <c r="E832" s="139"/>
      <c r="F832" s="142"/>
    </row>
    <row r="833" spans="1:14" hidden="1">
      <c r="A833" s="136"/>
      <c r="B833" s="144" t="s">
        <v>69</v>
      </c>
      <c r="C833" s="144">
        <v>13</v>
      </c>
      <c r="D833" s="35" t="s">
        <v>159</v>
      </c>
      <c r="E833" s="139"/>
      <c r="F833" s="142"/>
    </row>
    <row r="834" spans="1:14" hidden="1">
      <c r="A834" s="137"/>
      <c r="B834" s="145"/>
      <c r="C834" s="145"/>
      <c r="D834" s="16">
        <v>0</v>
      </c>
      <c r="E834" s="140"/>
      <c r="F834" s="143"/>
    </row>
    <row r="835" spans="1:14" hidden="1">
      <c r="A835" s="36" t="s">
        <v>70</v>
      </c>
      <c r="B835" s="37" t="s">
        <v>72</v>
      </c>
      <c r="C835" s="37" t="s">
        <v>16</v>
      </c>
      <c r="D835" s="146" t="s">
        <v>160</v>
      </c>
      <c r="E835" s="147"/>
      <c r="F835" s="148"/>
    </row>
    <row r="836" spans="1:14" hidden="1">
      <c r="A836" s="149" t="s">
        <v>62</v>
      </c>
      <c r="B836" s="16" t="s">
        <v>68</v>
      </c>
      <c r="C836" s="16">
        <v>6</v>
      </c>
      <c r="D836" s="151">
        <f>C836/9</f>
        <v>0.66666666666666663</v>
      </c>
      <c r="E836" s="152"/>
      <c r="F836" s="153"/>
    </row>
    <row r="837" spans="1:14" ht="16.5" hidden="1" thickBot="1">
      <c r="A837" s="150"/>
      <c r="B837" s="20" t="s">
        <v>69</v>
      </c>
      <c r="C837" s="20">
        <v>0</v>
      </c>
      <c r="D837" s="154"/>
      <c r="E837" s="155"/>
      <c r="F837" s="156"/>
    </row>
    <row r="838" spans="1:14" hidden="1"/>
    <row r="839" spans="1:14" hidden="1">
      <c r="A839" t="s">
        <v>2078</v>
      </c>
    </row>
    <row r="840" spans="1:14" hidden="1">
      <c r="A840" s="37" t="s">
        <v>58</v>
      </c>
      <c r="B840" s="37" t="s">
        <v>67</v>
      </c>
      <c r="C840" s="37" t="s">
        <v>3</v>
      </c>
      <c r="D840" s="37" t="s">
        <v>57</v>
      </c>
      <c r="E840" s="37" t="s">
        <v>59</v>
      </c>
      <c r="F840" s="37" t="s">
        <v>61</v>
      </c>
      <c r="G840" s="37" t="s">
        <v>60</v>
      </c>
      <c r="H840" s="37" t="s">
        <v>66</v>
      </c>
      <c r="K840" s="14"/>
      <c r="L840" s="14"/>
      <c r="M840" s="32"/>
      <c r="N840" s="14"/>
    </row>
    <row r="841" spans="1:14" ht="31.5" hidden="1">
      <c r="A841" s="102">
        <v>46001</v>
      </c>
      <c r="B841" s="16" t="s">
        <v>76</v>
      </c>
      <c r="C841" s="16" t="s">
        <v>1219</v>
      </c>
      <c r="D841" s="16" t="s">
        <v>253</v>
      </c>
      <c r="E841" s="16" t="s">
        <v>40</v>
      </c>
      <c r="F841" s="16" t="s">
        <v>77</v>
      </c>
      <c r="G841" s="17" t="s">
        <v>2106</v>
      </c>
      <c r="H841" s="16"/>
      <c r="K841" s="14"/>
      <c r="L841" s="32"/>
      <c r="M841" s="14"/>
      <c r="N841" s="32"/>
    </row>
    <row r="842" spans="1:14" ht="63" hidden="1">
      <c r="A842" s="102">
        <v>46001</v>
      </c>
      <c r="B842" s="16" t="s">
        <v>75</v>
      </c>
      <c r="C842" s="16" t="s">
        <v>1203</v>
      </c>
      <c r="D842" s="16" t="s">
        <v>1286</v>
      </c>
      <c r="E842" s="16" t="s">
        <v>40</v>
      </c>
      <c r="F842" s="16" t="s">
        <v>71</v>
      </c>
      <c r="G842" s="17" t="s">
        <v>2107</v>
      </c>
      <c r="H842" s="16"/>
      <c r="K842" s="14"/>
      <c r="L842" s="32"/>
      <c r="M842" s="14"/>
      <c r="N842" s="32"/>
    </row>
    <row r="843" spans="1:14" ht="78.75" hidden="1">
      <c r="A843" s="102">
        <v>46001</v>
      </c>
      <c r="B843" s="16" t="s">
        <v>76</v>
      </c>
      <c r="C843" s="16" t="s">
        <v>55</v>
      </c>
      <c r="D843" s="16" t="s">
        <v>2108</v>
      </c>
      <c r="E843" s="16" t="s">
        <v>40</v>
      </c>
      <c r="F843" s="16" t="s">
        <v>71</v>
      </c>
      <c r="G843" s="17" t="s">
        <v>2109</v>
      </c>
      <c r="H843" s="16"/>
      <c r="K843" s="14"/>
      <c r="L843" s="32"/>
      <c r="M843" s="14"/>
      <c r="N843" s="32"/>
    </row>
    <row r="844" spans="1:14" hidden="1">
      <c r="A844" s="102">
        <v>46001</v>
      </c>
      <c r="B844" s="16" t="s">
        <v>76</v>
      </c>
      <c r="C844" s="16" t="s">
        <v>1233</v>
      </c>
      <c r="D844" s="16" t="s">
        <v>2110</v>
      </c>
      <c r="E844" s="16" t="s">
        <v>41</v>
      </c>
      <c r="F844" s="16" t="s">
        <v>77</v>
      </c>
      <c r="G844" s="17" t="s">
        <v>2111</v>
      </c>
      <c r="H844" s="16"/>
      <c r="K844" s="14"/>
      <c r="L844" s="32"/>
      <c r="M844" s="14"/>
      <c r="N844" s="32"/>
    </row>
    <row r="845" spans="1:14" hidden="1">
      <c r="A845" s="102">
        <v>46001</v>
      </c>
      <c r="B845" s="16" t="s">
        <v>197</v>
      </c>
      <c r="C845" s="16" t="s">
        <v>1247</v>
      </c>
      <c r="D845" s="16" t="s">
        <v>1248</v>
      </c>
      <c r="E845" s="16" t="s">
        <v>41</v>
      </c>
      <c r="F845" s="16" t="s">
        <v>77</v>
      </c>
      <c r="G845" s="17" t="s">
        <v>2112</v>
      </c>
      <c r="H845" s="16"/>
      <c r="K845" s="14"/>
      <c r="L845" s="32"/>
      <c r="M845" s="14"/>
      <c r="N845" s="32"/>
    </row>
    <row r="846" spans="1:14" hidden="1">
      <c r="A846" s="102">
        <v>46001</v>
      </c>
      <c r="B846" s="16" t="s">
        <v>197</v>
      </c>
      <c r="C846" s="16" t="s">
        <v>1585</v>
      </c>
      <c r="D846" s="16" t="s">
        <v>1586</v>
      </c>
      <c r="E846" s="16" t="s">
        <v>41</v>
      </c>
      <c r="F846" s="16" t="s">
        <v>71</v>
      </c>
      <c r="G846" s="17" t="s">
        <v>2113</v>
      </c>
      <c r="H846" s="16"/>
      <c r="K846" s="14"/>
      <c r="L846" s="32"/>
      <c r="M846" s="14"/>
      <c r="N846" s="32"/>
    </row>
    <row r="847" spans="1:14" ht="78.75" hidden="1">
      <c r="A847" s="102">
        <v>46001</v>
      </c>
      <c r="B847" s="16" t="s">
        <v>75</v>
      </c>
      <c r="C847" s="16" t="s">
        <v>1227</v>
      </c>
      <c r="D847" s="16" t="s">
        <v>1946</v>
      </c>
      <c r="E847" s="16" t="s">
        <v>41</v>
      </c>
      <c r="F847" s="16" t="s">
        <v>71</v>
      </c>
      <c r="G847" s="17" t="s">
        <v>2114</v>
      </c>
      <c r="H847" s="16"/>
      <c r="K847" s="14"/>
      <c r="L847" s="32"/>
      <c r="M847" s="14"/>
      <c r="N847" s="32"/>
    </row>
    <row r="848" spans="1:14" ht="31.5" hidden="1">
      <c r="A848" s="102">
        <v>46002</v>
      </c>
      <c r="B848" s="16" t="s">
        <v>76</v>
      </c>
      <c r="C848" s="16" t="s">
        <v>476</v>
      </c>
      <c r="D848" s="16" t="s">
        <v>478</v>
      </c>
      <c r="E848" s="16" t="s">
        <v>40</v>
      </c>
      <c r="F848" s="16" t="s">
        <v>71</v>
      </c>
      <c r="G848" s="17" t="s">
        <v>2115</v>
      </c>
      <c r="H848" s="16"/>
      <c r="K848" s="14"/>
      <c r="L848" s="32"/>
      <c r="M848" s="14"/>
      <c r="N848" s="32"/>
    </row>
    <row r="849" spans="1:14" ht="110.25" hidden="1">
      <c r="A849" s="102">
        <v>46002</v>
      </c>
      <c r="B849" s="16" t="s">
        <v>76</v>
      </c>
      <c r="C849" s="16" t="s">
        <v>561</v>
      </c>
      <c r="D849" s="16" t="s">
        <v>565</v>
      </c>
      <c r="E849" s="16" t="s">
        <v>40</v>
      </c>
      <c r="F849" s="16" t="s">
        <v>71</v>
      </c>
      <c r="G849" s="17" t="s">
        <v>2116</v>
      </c>
      <c r="H849" s="16"/>
      <c r="K849" s="14"/>
      <c r="L849" s="32"/>
      <c r="M849" s="14"/>
      <c r="N849" s="32"/>
    </row>
    <row r="850" spans="1:14" ht="94.5" hidden="1">
      <c r="A850" s="102">
        <v>46002</v>
      </c>
      <c r="B850" s="16" t="s">
        <v>75</v>
      </c>
      <c r="C850" s="16" t="s">
        <v>561</v>
      </c>
      <c r="D850" s="16" t="s">
        <v>2117</v>
      </c>
      <c r="E850" s="16" t="s">
        <v>40</v>
      </c>
      <c r="F850" s="16" t="s">
        <v>71</v>
      </c>
      <c r="G850" s="17" t="s">
        <v>2118</v>
      </c>
      <c r="H850" s="16"/>
      <c r="K850" s="14"/>
      <c r="L850" s="32"/>
      <c r="M850" s="14"/>
      <c r="N850" s="32"/>
    </row>
    <row r="851" spans="1:14" ht="47.25" hidden="1">
      <c r="A851" s="102">
        <v>46002</v>
      </c>
      <c r="B851" s="16" t="s">
        <v>197</v>
      </c>
      <c r="C851" s="16" t="s">
        <v>1233</v>
      </c>
      <c r="D851" s="16" t="s">
        <v>1448</v>
      </c>
      <c r="E851" s="16" t="s">
        <v>41</v>
      </c>
      <c r="F851" s="16" t="s">
        <v>77</v>
      </c>
      <c r="G851" s="17" t="s">
        <v>2119</v>
      </c>
      <c r="H851" s="16"/>
      <c r="K851" s="14"/>
      <c r="L851" s="32"/>
      <c r="M851" s="14"/>
      <c r="N851" s="32"/>
    </row>
    <row r="852" spans="1:14" ht="31.5" hidden="1">
      <c r="A852" s="102">
        <v>46002</v>
      </c>
      <c r="B852" s="16" t="s">
        <v>75</v>
      </c>
      <c r="C852" s="16" t="s">
        <v>1244</v>
      </c>
      <c r="D852" s="16" t="s">
        <v>1967</v>
      </c>
      <c r="E852" s="16" t="s">
        <v>41</v>
      </c>
      <c r="F852" s="16" t="s">
        <v>64</v>
      </c>
      <c r="G852" s="17" t="s">
        <v>2120</v>
      </c>
      <c r="H852" s="16"/>
      <c r="K852" s="14"/>
      <c r="L852" s="14"/>
      <c r="M852" s="14"/>
      <c r="N852" s="14"/>
    </row>
    <row r="853" spans="1:14" hidden="1">
      <c r="A853" s="102">
        <v>46002</v>
      </c>
      <c r="B853" s="16" t="s">
        <v>75</v>
      </c>
      <c r="C853" s="16" t="s">
        <v>2121</v>
      </c>
      <c r="D853" s="16" t="s">
        <v>2122</v>
      </c>
      <c r="E853" s="16" t="s">
        <v>41</v>
      </c>
      <c r="F853" s="16" t="s">
        <v>77</v>
      </c>
      <c r="G853" s="17" t="s">
        <v>2123</v>
      </c>
      <c r="H853" s="16"/>
      <c r="K853" s="14"/>
      <c r="L853" s="14"/>
      <c r="M853" s="14"/>
      <c r="N853" s="14"/>
    </row>
    <row r="854" spans="1:14" hidden="1">
      <c r="A854" s="102">
        <v>46002</v>
      </c>
      <c r="B854" s="16" t="s">
        <v>75</v>
      </c>
      <c r="C854" s="16" t="s">
        <v>1256</v>
      </c>
      <c r="D854" s="16" t="s">
        <v>1271</v>
      </c>
      <c r="E854" s="16" t="s">
        <v>41</v>
      </c>
      <c r="F854" s="16" t="s">
        <v>77</v>
      </c>
      <c r="G854" s="17" t="s">
        <v>1385</v>
      </c>
      <c r="H854" s="16"/>
      <c r="K854" s="14"/>
      <c r="L854" s="14"/>
      <c r="M854" s="14"/>
      <c r="N854" s="14"/>
    </row>
    <row r="855" spans="1:14" ht="63" hidden="1">
      <c r="A855" s="102">
        <v>46002</v>
      </c>
      <c r="B855" s="16" t="s">
        <v>75</v>
      </c>
      <c r="C855" s="16" t="s">
        <v>532</v>
      </c>
      <c r="D855" s="16" t="s">
        <v>539</v>
      </c>
      <c r="E855" s="16" t="s">
        <v>41</v>
      </c>
      <c r="F855" s="16" t="s">
        <v>71</v>
      </c>
      <c r="G855" s="17" t="s">
        <v>2124</v>
      </c>
      <c r="H855" s="16"/>
      <c r="K855" s="14"/>
      <c r="L855" s="14"/>
      <c r="M855" s="14"/>
      <c r="N855" s="14"/>
    </row>
    <row r="856" spans="1:14" ht="47.25" hidden="1">
      <c r="A856" s="102">
        <v>46003</v>
      </c>
      <c r="B856" s="16" t="s">
        <v>75</v>
      </c>
      <c r="C856" s="16" t="s">
        <v>561</v>
      </c>
      <c r="D856" s="16" t="s">
        <v>1011</v>
      </c>
      <c r="E856" s="16" t="s">
        <v>40</v>
      </c>
      <c r="F856" s="16" t="s">
        <v>71</v>
      </c>
      <c r="G856" s="17" t="s">
        <v>2125</v>
      </c>
      <c r="H856" s="16"/>
      <c r="K856" s="14"/>
      <c r="L856" s="32"/>
      <c r="M856" s="14"/>
      <c r="N856" s="14"/>
    </row>
    <row r="857" spans="1:14" hidden="1">
      <c r="A857" s="102">
        <v>46003</v>
      </c>
      <c r="B857" s="16" t="s">
        <v>76</v>
      </c>
      <c r="C857" s="16" t="s">
        <v>1204</v>
      </c>
      <c r="D857" s="16" t="s">
        <v>1310</v>
      </c>
      <c r="E857" s="16" t="s">
        <v>41</v>
      </c>
      <c r="F857" s="16" t="s">
        <v>77</v>
      </c>
      <c r="G857" s="17" t="s">
        <v>2126</v>
      </c>
      <c r="H857" s="16"/>
      <c r="K857" s="14"/>
      <c r="L857" s="32"/>
      <c r="M857" s="14"/>
      <c r="N857" s="14"/>
    </row>
    <row r="858" spans="1:14" hidden="1">
      <c r="A858" s="102">
        <v>46003</v>
      </c>
      <c r="B858" s="16" t="s">
        <v>76</v>
      </c>
      <c r="C858" s="16" t="s">
        <v>1207</v>
      </c>
      <c r="D858" s="16" t="s">
        <v>2127</v>
      </c>
      <c r="E858" s="16" t="s">
        <v>41</v>
      </c>
      <c r="F858" s="16" t="s">
        <v>64</v>
      </c>
      <c r="G858" s="17" t="s">
        <v>2128</v>
      </c>
      <c r="H858" s="16"/>
      <c r="K858" s="14"/>
      <c r="L858" s="32"/>
      <c r="M858" s="14"/>
      <c r="N858" s="32"/>
    </row>
    <row r="859" spans="1:14" hidden="1">
      <c r="A859" s="102">
        <v>46003</v>
      </c>
      <c r="B859" s="16" t="s">
        <v>76</v>
      </c>
      <c r="C859" s="16" t="s">
        <v>1268</v>
      </c>
      <c r="D859" s="16" t="s">
        <v>1799</v>
      </c>
      <c r="E859" s="16" t="s">
        <v>41</v>
      </c>
      <c r="F859" s="16" t="s">
        <v>64</v>
      </c>
      <c r="G859" s="17" t="s">
        <v>2128</v>
      </c>
      <c r="H859" s="16"/>
      <c r="K859" s="14"/>
      <c r="L859" s="32"/>
      <c r="M859" s="14"/>
      <c r="N859" s="32"/>
    </row>
    <row r="860" spans="1:14" hidden="1">
      <c r="A860" s="102">
        <v>46003</v>
      </c>
      <c r="B860" s="16" t="s">
        <v>75</v>
      </c>
      <c r="C860" s="16" t="s">
        <v>561</v>
      </c>
      <c r="D860" s="16" t="s">
        <v>1853</v>
      </c>
      <c r="E860" s="16" t="s">
        <v>41</v>
      </c>
      <c r="F860" s="16" t="s">
        <v>64</v>
      </c>
      <c r="G860" s="17" t="s">
        <v>2129</v>
      </c>
      <c r="H860" s="16"/>
      <c r="K860" s="14"/>
      <c r="L860" s="32"/>
      <c r="M860" s="14"/>
      <c r="N860" s="32"/>
    </row>
    <row r="861" spans="1:14" ht="78.75" hidden="1">
      <c r="A861" s="102">
        <v>46003</v>
      </c>
      <c r="B861" s="16" t="s">
        <v>91</v>
      </c>
      <c r="C861" s="16" t="s">
        <v>2130</v>
      </c>
      <c r="D861" s="16" t="s">
        <v>2131</v>
      </c>
      <c r="E861" s="16" t="s">
        <v>41</v>
      </c>
      <c r="F861" s="16" t="s">
        <v>77</v>
      </c>
      <c r="G861" s="17" t="s">
        <v>2132</v>
      </c>
      <c r="H861" s="16"/>
      <c r="K861" s="14"/>
      <c r="L861" s="32"/>
      <c r="M861" s="14"/>
      <c r="N861" s="32"/>
    </row>
    <row r="862" spans="1:14" hidden="1">
      <c r="A862" s="102">
        <v>46003</v>
      </c>
      <c r="B862" s="16" t="s">
        <v>91</v>
      </c>
      <c r="C862" s="16" t="s">
        <v>2133</v>
      </c>
      <c r="D862" s="16" t="s">
        <v>2134</v>
      </c>
      <c r="E862" s="16" t="s">
        <v>41</v>
      </c>
      <c r="F862" s="16" t="s">
        <v>77</v>
      </c>
      <c r="G862" s="17" t="s">
        <v>1385</v>
      </c>
      <c r="H862" s="16"/>
      <c r="K862" s="14"/>
      <c r="L862" s="32"/>
      <c r="M862" s="14"/>
      <c r="N862" s="14"/>
    </row>
    <row r="863" spans="1:14" hidden="1">
      <c r="A863" s="102">
        <v>46003</v>
      </c>
      <c r="B863" s="16" t="s">
        <v>91</v>
      </c>
      <c r="C863" s="16" t="s">
        <v>2135</v>
      </c>
      <c r="D863" s="16" t="s">
        <v>2122</v>
      </c>
      <c r="E863" s="16" t="s">
        <v>41</v>
      </c>
      <c r="F863" s="16" t="s">
        <v>77</v>
      </c>
      <c r="G863" s="17" t="s">
        <v>1372</v>
      </c>
      <c r="H863" s="16"/>
      <c r="K863" s="14"/>
      <c r="L863" s="14"/>
      <c r="M863" s="14"/>
      <c r="N863" s="14"/>
    </row>
    <row r="864" spans="1:14" ht="31.5" hidden="1">
      <c r="A864" s="102">
        <v>46003</v>
      </c>
      <c r="B864" s="16" t="s">
        <v>197</v>
      </c>
      <c r="C864" s="16" t="s">
        <v>1247</v>
      </c>
      <c r="D864" s="16" t="s">
        <v>1248</v>
      </c>
      <c r="E864" s="16" t="s">
        <v>41</v>
      </c>
      <c r="F864" s="16" t="s">
        <v>77</v>
      </c>
      <c r="G864" s="17" t="s">
        <v>2136</v>
      </c>
      <c r="H864" s="16"/>
      <c r="K864" s="14"/>
      <c r="L864" s="14"/>
      <c r="M864" s="14"/>
      <c r="N864" s="14"/>
    </row>
    <row r="865" spans="1:14" hidden="1">
      <c r="A865" s="102">
        <v>46003</v>
      </c>
      <c r="B865" s="16" t="s">
        <v>75</v>
      </c>
      <c r="C865" s="16" t="s">
        <v>1376</v>
      </c>
      <c r="D865" s="16" t="s">
        <v>1502</v>
      </c>
      <c r="E865" s="16" t="s">
        <v>41</v>
      </c>
      <c r="F865" s="16" t="s">
        <v>71</v>
      </c>
      <c r="G865" s="17" t="s">
        <v>2137</v>
      </c>
      <c r="H865" s="16"/>
      <c r="K865" s="14"/>
      <c r="L865" s="32"/>
      <c r="M865" s="14"/>
      <c r="N865" s="32"/>
    </row>
    <row r="866" spans="1:14" hidden="1">
      <c r="A866" s="102"/>
      <c r="B866" s="16"/>
      <c r="C866" s="16"/>
      <c r="D866" s="16"/>
      <c r="E866" s="16"/>
      <c r="F866" s="16"/>
      <c r="G866" s="17"/>
      <c r="H866" s="16"/>
      <c r="K866" s="14"/>
      <c r="L866" s="14"/>
      <c r="M866" s="14"/>
      <c r="N866" s="32"/>
    </row>
    <row r="867" spans="1:14" hidden="1"/>
    <row r="868" spans="1:14" hidden="1">
      <c r="A868" s="3" t="s">
        <v>70</v>
      </c>
      <c r="B868" s="4" t="s">
        <v>72</v>
      </c>
      <c r="C868" s="4" t="s">
        <v>16</v>
      </c>
      <c r="D868" s="34" t="s">
        <v>155</v>
      </c>
      <c r="E868" s="9" t="s">
        <v>156</v>
      </c>
      <c r="F868" s="10" t="s">
        <v>157</v>
      </c>
    </row>
    <row r="869" spans="1:14" hidden="1">
      <c r="A869" s="135" t="s">
        <v>63</v>
      </c>
      <c r="B869" s="99" t="s">
        <v>68</v>
      </c>
      <c r="C869" s="99">
        <v>4</v>
      </c>
      <c r="D869" s="99">
        <f>C869</f>
        <v>4</v>
      </c>
      <c r="E869" s="138">
        <f>D869+D871+D873</f>
        <v>5.333333333333333</v>
      </c>
      <c r="F869" s="141">
        <f>E869/12</f>
        <v>0.44444444444444442</v>
      </c>
    </row>
    <row r="870" spans="1:14" hidden="1">
      <c r="A870" s="136"/>
      <c r="B870" s="144" t="s">
        <v>65</v>
      </c>
      <c r="C870" s="144">
        <v>4</v>
      </c>
      <c r="D870" s="35" t="s">
        <v>158</v>
      </c>
      <c r="E870" s="139"/>
      <c r="F870" s="142"/>
    </row>
    <row r="871" spans="1:14" hidden="1">
      <c r="A871" s="136"/>
      <c r="B871" s="145"/>
      <c r="C871" s="145"/>
      <c r="D871" s="16">
        <f>C870/3</f>
        <v>1.3333333333333333</v>
      </c>
      <c r="E871" s="139"/>
      <c r="F871" s="142"/>
    </row>
    <row r="872" spans="1:14" hidden="1">
      <c r="A872" s="136"/>
      <c r="B872" s="144" t="s">
        <v>69</v>
      </c>
      <c r="C872" s="144">
        <v>10</v>
      </c>
      <c r="D872" s="35" t="s">
        <v>159</v>
      </c>
      <c r="E872" s="139"/>
      <c r="F872" s="142"/>
    </row>
    <row r="873" spans="1:14" hidden="1">
      <c r="A873" s="137"/>
      <c r="B873" s="145"/>
      <c r="C873" s="145"/>
      <c r="D873" s="16">
        <v>0</v>
      </c>
      <c r="E873" s="140"/>
      <c r="F873" s="143"/>
    </row>
    <row r="874" spans="1:14" hidden="1">
      <c r="A874" s="36" t="s">
        <v>70</v>
      </c>
      <c r="B874" s="37" t="s">
        <v>72</v>
      </c>
      <c r="C874" s="37" t="s">
        <v>16</v>
      </c>
      <c r="D874" s="146" t="s">
        <v>160</v>
      </c>
      <c r="E874" s="147"/>
      <c r="F874" s="148"/>
    </row>
    <row r="875" spans="1:14" hidden="1">
      <c r="A875" s="149" t="s">
        <v>62</v>
      </c>
      <c r="B875" s="16" t="s">
        <v>68</v>
      </c>
      <c r="C875" s="16">
        <v>6</v>
      </c>
      <c r="D875" s="151">
        <f>C875/9</f>
        <v>0.66666666666666663</v>
      </c>
      <c r="E875" s="152"/>
      <c r="F875" s="153"/>
    </row>
    <row r="876" spans="1:14" ht="16.5" hidden="1" thickBot="1">
      <c r="A876" s="150"/>
      <c r="B876" s="20" t="s">
        <v>69</v>
      </c>
      <c r="C876" s="20">
        <v>1</v>
      </c>
      <c r="D876" s="154"/>
      <c r="E876" s="155"/>
      <c r="F876" s="156"/>
    </row>
    <row r="877" spans="1:14" hidden="1"/>
    <row r="878" spans="1:14" hidden="1">
      <c r="A878" t="s">
        <v>2138</v>
      </c>
    </row>
    <row r="879" spans="1:14" hidden="1">
      <c r="A879" s="37" t="s">
        <v>58</v>
      </c>
      <c r="B879" s="37" t="s">
        <v>67</v>
      </c>
      <c r="C879" s="37" t="s">
        <v>3</v>
      </c>
      <c r="D879" s="37" t="s">
        <v>57</v>
      </c>
      <c r="E879" s="37" t="s">
        <v>59</v>
      </c>
      <c r="F879" s="37" t="s">
        <v>61</v>
      </c>
      <c r="G879" s="37" t="s">
        <v>60</v>
      </c>
      <c r="H879" s="37" t="s">
        <v>66</v>
      </c>
      <c r="K879" s="14"/>
      <c r="L879" s="14"/>
      <c r="M879" s="32"/>
      <c r="N879" s="14"/>
    </row>
    <row r="880" spans="1:14" ht="47.25" hidden="1">
      <c r="A880" s="102">
        <v>46006</v>
      </c>
      <c r="B880" s="16" t="s">
        <v>197</v>
      </c>
      <c r="C880" s="16" t="s">
        <v>1314</v>
      </c>
      <c r="D880" s="16" t="s">
        <v>1315</v>
      </c>
      <c r="E880" s="16" t="s">
        <v>41</v>
      </c>
      <c r="F880" s="16" t="s">
        <v>77</v>
      </c>
      <c r="G880" s="17" t="s">
        <v>2139</v>
      </c>
      <c r="H880" s="16"/>
      <c r="K880" s="14"/>
      <c r="L880" s="32"/>
      <c r="M880" s="14"/>
      <c r="N880" s="32"/>
    </row>
    <row r="881" spans="1:14" ht="63" hidden="1">
      <c r="A881" s="102">
        <v>46006</v>
      </c>
      <c r="B881" s="16" t="s">
        <v>75</v>
      </c>
      <c r="C881" s="16" t="s">
        <v>532</v>
      </c>
      <c r="D881" s="16" t="s">
        <v>539</v>
      </c>
      <c r="E881" s="16" t="s">
        <v>41</v>
      </c>
      <c r="F881" s="16" t="s">
        <v>71</v>
      </c>
      <c r="G881" s="17" t="s">
        <v>2140</v>
      </c>
      <c r="H881" s="16"/>
      <c r="K881" s="14"/>
      <c r="L881" s="32"/>
      <c r="M881" s="14"/>
      <c r="N881" s="32"/>
    </row>
    <row r="882" spans="1:14" hidden="1">
      <c r="A882" s="102">
        <v>46006</v>
      </c>
      <c r="B882" s="16" t="s">
        <v>75</v>
      </c>
      <c r="C882" s="16" t="s">
        <v>1425</v>
      </c>
      <c r="D882" s="16" t="s">
        <v>1523</v>
      </c>
      <c r="E882" s="16" t="s">
        <v>41</v>
      </c>
      <c r="F882" s="16" t="s">
        <v>77</v>
      </c>
      <c r="G882" s="17" t="s">
        <v>2141</v>
      </c>
      <c r="H882" s="16"/>
      <c r="K882" s="14"/>
      <c r="L882" s="32"/>
      <c r="M882" s="14"/>
      <c r="N882" s="32"/>
    </row>
    <row r="883" spans="1:14" ht="31.5" hidden="1">
      <c r="A883" s="102">
        <v>46006</v>
      </c>
      <c r="B883" s="16" t="s">
        <v>75</v>
      </c>
      <c r="C883" s="16" t="s">
        <v>1247</v>
      </c>
      <c r="D883" s="16" t="s">
        <v>1248</v>
      </c>
      <c r="E883" s="16" t="s">
        <v>41</v>
      </c>
      <c r="F883" s="16" t="s">
        <v>77</v>
      </c>
      <c r="G883" s="17" t="s">
        <v>2142</v>
      </c>
      <c r="H883" s="16"/>
      <c r="K883" s="14"/>
      <c r="L883" s="32"/>
      <c r="M883" s="14"/>
      <c r="N883" s="32"/>
    </row>
    <row r="884" spans="1:14" hidden="1">
      <c r="A884" s="102">
        <v>46006</v>
      </c>
      <c r="B884" s="16" t="s">
        <v>75</v>
      </c>
      <c r="C884" s="16" t="s">
        <v>1236</v>
      </c>
      <c r="D884" s="16" t="s">
        <v>1345</v>
      </c>
      <c r="E884" s="16" t="s">
        <v>41</v>
      </c>
      <c r="F884" s="16" t="s">
        <v>64</v>
      </c>
      <c r="G884" s="17" t="s">
        <v>2143</v>
      </c>
      <c r="H884" s="16"/>
      <c r="K884" s="14"/>
      <c r="L884" s="32"/>
      <c r="M884" s="14"/>
      <c r="N884" s="32"/>
    </row>
    <row r="885" spans="1:14" ht="126" hidden="1">
      <c r="A885" s="102">
        <v>46007</v>
      </c>
      <c r="B885" s="16" t="s">
        <v>75</v>
      </c>
      <c r="C885" s="16" t="s">
        <v>1244</v>
      </c>
      <c r="D885" s="16" t="s">
        <v>1967</v>
      </c>
      <c r="E885" s="16" t="s">
        <v>40</v>
      </c>
      <c r="F885" s="16" t="s">
        <v>71</v>
      </c>
      <c r="G885" s="17" t="s">
        <v>2144</v>
      </c>
      <c r="H885" s="16"/>
      <c r="K885" s="14"/>
      <c r="L885" s="32"/>
      <c r="M885" s="14"/>
      <c r="N885" s="32"/>
    </row>
    <row r="886" spans="1:14" ht="78.75" hidden="1">
      <c r="A886" s="102">
        <v>46007</v>
      </c>
      <c r="B886" s="16" t="s">
        <v>76</v>
      </c>
      <c r="C886" s="16" t="s">
        <v>1268</v>
      </c>
      <c r="D886" s="16" t="s">
        <v>1799</v>
      </c>
      <c r="E886" s="16" t="s">
        <v>40</v>
      </c>
      <c r="F886" s="16" t="s">
        <v>71</v>
      </c>
      <c r="G886" s="17" t="s">
        <v>2145</v>
      </c>
      <c r="H886" s="16"/>
      <c r="K886" s="14"/>
      <c r="L886" s="32"/>
      <c r="M886" s="14"/>
      <c r="N886" s="32"/>
    </row>
    <row r="887" spans="1:14" ht="47.25" hidden="1">
      <c r="A887" s="102">
        <v>46007</v>
      </c>
      <c r="B887" s="16" t="s">
        <v>76</v>
      </c>
      <c r="C887" s="16" t="s">
        <v>1207</v>
      </c>
      <c r="D887" s="16" t="s">
        <v>2127</v>
      </c>
      <c r="E887" s="16" t="s">
        <v>40</v>
      </c>
      <c r="F887" s="16" t="s">
        <v>77</v>
      </c>
      <c r="G887" s="17" t="s">
        <v>2146</v>
      </c>
      <c r="H887" s="16"/>
      <c r="K887" s="14"/>
      <c r="L887" s="32"/>
      <c r="M887" s="14"/>
      <c r="N887" s="32"/>
    </row>
    <row r="888" spans="1:14" ht="47.25" hidden="1">
      <c r="A888" s="102">
        <v>46007</v>
      </c>
      <c r="B888" s="16" t="s">
        <v>75</v>
      </c>
      <c r="C888" s="16" t="s">
        <v>1213</v>
      </c>
      <c r="D888" s="16" t="s">
        <v>2147</v>
      </c>
      <c r="E888" s="16" t="s">
        <v>40</v>
      </c>
      <c r="F888" s="16" t="s">
        <v>77</v>
      </c>
      <c r="G888" s="17" t="s">
        <v>2148</v>
      </c>
      <c r="H888" s="16"/>
      <c r="K888" s="14"/>
      <c r="L888" s="32"/>
      <c r="M888" s="14"/>
      <c r="N888" s="32"/>
    </row>
    <row r="889" spans="1:14" ht="110.25" hidden="1">
      <c r="A889" s="102">
        <v>46008</v>
      </c>
      <c r="B889" s="16" t="s">
        <v>75</v>
      </c>
      <c r="C889" s="16" t="s">
        <v>820</v>
      </c>
      <c r="D889" s="16" t="s">
        <v>2149</v>
      </c>
      <c r="E889" s="16" t="s">
        <v>40</v>
      </c>
      <c r="F889" s="16" t="s">
        <v>71</v>
      </c>
      <c r="G889" s="17" t="s">
        <v>2150</v>
      </c>
      <c r="H889" s="16"/>
      <c r="K889" s="14"/>
      <c r="L889" s="32"/>
      <c r="M889" s="14"/>
      <c r="N889" s="32"/>
    </row>
    <row r="890" spans="1:14" ht="47.25" hidden="1">
      <c r="A890" s="102">
        <v>46008</v>
      </c>
      <c r="B890" s="16" t="s">
        <v>76</v>
      </c>
      <c r="C890" s="16" t="s">
        <v>411</v>
      </c>
      <c r="D890" s="16" t="s">
        <v>2151</v>
      </c>
      <c r="E890" s="16" t="s">
        <v>40</v>
      </c>
      <c r="F890" s="16" t="s">
        <v>71</v>
      </c>
      <c r="G890" s="17" t="s">
        <v>2152</v>
      </c>
      <c r="H890" s="16"/>
      <c r="K890" s="14"/>
      <c r="L890" s="32"/>
      <c r="M890" s="14"/>
      <c r="N890" s="32"/>
    </row>
    <row r="891" spans="1:14" ht="63" hidden="1">
      <c r="A891" s="102">
        <v>46008</v>
      </c>
      <c r="B891" s="16" t="s">
        <v>91</v>
      </c>
      <c r="C891" s="16" t="s">
        <v>2153</v>
      </c>
      <c r="D891" s="16" t="s">
        <v>2154</v>
      </c>
      <c r="E891" s="16" t="s">
        <v>41</v>
      </c>
      <c r="F891" s="16" t="s">
        <v>64</v>
      </c>
      <c r="G891" s="17" t="s">
        <v>2155</v>
      </c>
      <c r="H891" s="16"/>
      <c r="K891" s="14"/>
      <c r="L891" s="32"/>
      <c r="M891" s="14"/>
      <c r="N891" s="32"/>
    </row>
    <row r="892" spans="1:14" ht="31.5" hidden="1">
      <c r="A892" s="102">
        <v>46008</v>
      </c>
      <c r="B892" s="16" t="s">
        <v>75</v>
      </c>
      <c r="C892" s="16" t="s">
        <v>1528</v>
      </c>
      <c r="D892" s="16" t="s">
        <v>2156</v>
      </c>
      <c r="E892" s="16" t="s">
        <v>41</v>
      </c>
      <c r="F892" s="16" t="s">
        <v>77</v>
      </c>
      <c r="G892" s="17" t="s">
        <v>2157</v>
      </c>
      <c r="H892" s="16"/>
      <c r="K892" s="14"/>
      <c r="L892" s="32"/>
      <c r="M892" s="14"/>
      <c r="N892" s="32"/>
    </row>
    <row r="893" spans="1:14" ht="47.25" hidden="1">
      <c r="A893" s="102">
        <v>46009</v>
      </c>
      <c r="B893" s="16" t="s">
        <v>75</v>
      </c>
      <c r="C893" s="16" t="s">
        <v>1414</v>
      </c>
      <c r="D893" s="16" t="s">
        <v>1518</v>
      </c>
      <c r="E893" s="16" t="s">
        <v>41</v>
      </c>
      <c r="F893" s="16" t="s">
        <v>77</v>
      </c>
      <c r="G893" s="17" t="s">
        <v>2158</v>
      </c>
      <c r="H893" s="16"/>
      <c r="K893" s="14"/>
      <c r="L893" s="32"/>
      <c r="M893" s="14"/>
      <c r="N893" s="32"/>
    </row>
    <row r="894" spans="1:14" hidden="1">
      <c r="A894" s="102"/>
      <c r="B894" s="16"/>
      <c r="C894" s="16"/>
      <c r="D894" s="16"/>
      <c r="E894" s="16"/>
      <c r="F894" s="16"/>
      <c r="G894" s="17"/>
      <c r="H894" s="16"/>
      <c r="K894" s="14"/>
      <c r="L894" s="14"/>
      <c r="M894" s="14"/>
      <c r="N894" s="14"/>
    </row>
    <row r="895" spans="1:14" hidden="1">
      <c r="A895" s="102"/>
      <c r="B895" s="16"/>
      <c r="C895" s="16"/>
      <c r="D895" s="16"/>
      <c r="E895" s="16"/>
      <c r="F895" s="16"/>
      <c r="G895" s="17"/>
      <c r="H895" s="16"/>
      <c r="K895" s="14"/>
      <c r="L895" s="14"/>
      <c r="M895" s="14"/>
      <c r="N895" s="14"/>
    </row>
    <row r="896" spans="1:14" hidden="1">
      <c r="A896" s="102"/>
      <c r="B896" s="16"/>
      <c r="C896" s="16"/>
      <c r="D896" s="16"/>
      <c r="E896" s="16"/>
      <c r="F896" s="16"/>
      <c r="G896" s="17"/>
      <c r="H896" s="16"/>
      <c r="K896" s="14"/>
      <c r="L896" s="14"/>
      <c r="M896" s="14"/>
      <c r="N896" s="14"/>
    </row>
    <row r="897" spans="1:14" hidden="1">
      <c r="A897" s="102"/>
      <c r="B897" s="16"/>
      <c r="C897" s="16"/>
      <c r="D897" s="16"/>
      <c r="E897" s="16"/>
      <c r="F897" s="16"/>
      <c r="G897" s="17"/>
      <c r="H897" s="16"/>
      <c r="K897" s="14"/>
      <c r="L897" s="14"/>
      <c r="M897" s="14"/>
      <c r="N897" s="14"/>
    </row>
    <row r="898" spans="1:14" hidden="1">
      <c r="A898" s="102"/>
      <c r="B898" s="16"/>
      <c r="C898" s="16"/>
      <c r="D898" s="16"/>
      <c r="E898" s="16"/>
      <c r="F898" s="16"/>
      <c r="G898" s="17"/>
      <c r="H898" s="16"/>
      <c r="K898" s="14"/>
      <c r="L898" s="32"/>
      <c r="M898" s="14"/>
      <c r="N898" s="14"/>
    </row>
    <row r="899" spans="1:14" hidden="1">
      <c r="A899" s="102"/>
      <c r="B899" s="16"/>
      <c r="C899" s="16"/>
      <c r="D899" s="16"/>
      <c r="E899" s="16"/>
      <c r="F899" s="16"/>
      <c r="G899" s="17"/>
      <c r="H899" s="16"/>
      <c r="K899" s="14"/>
      <c r="L899" s="32"/>
      <c r="M899" s="14"/>
      <c r="N899" s="14"/>
    </row>
    <row r="900" spans="1:14" hidden="1">
      <c r="A900" s="102"/>
      <c r="B900" s="16"/>
      <c r="C900" s="16"/>
      <c r="D900" s="16"/>
      <c r="E900" s="16"/>
      <c r="F900" s="16"/>
      <c r="G900" s="17"/>
      <c r="H900" s="16"/>
      <c r="K900" s="14"/>
      <c r="L900" s="32"/>
      <c r="M900" s="14"/>
      <c r="N900" s="32"/>
    </row>
    <row r="901" spans="1:14" hidden="1">
      <c r="A901" s="102"/>
      <c r="B901" s="16"/>
      <c r="C901" s="16"/>
      <c r="D901" s="16"/>
      <c r="E901" s="16"/>
      <c r="F901" s="16"/>
      <c r="G901" s="17"/>
      <c r="H901" s="16"/>
      <c r="K901" s="14"/>
      <c r="L901" s="32"/>
      <c r="M901" s="14"/>
      <c r="N901" s="32"/>
    </row>
    <row r="902" spans="1:14" hidden="1">
      <c r="A902" s="102"/>
      <c r="B902" s="16"/>
      <c r="C902" s="16"/>
      <c r="D902" s="16"/>
      <c r="E902" s="16"/>
      <c r="F902" s="16"/>
      <c r="G902" s="17"/>
      <c r="H902" s="16"/>
      <c r="K902" s="14"/>
      <c r="L902" s="32"/>
      <c r="M902" s="14"/>
      <c r="N902" s="32"/>
    </row>
    <row r="903" spans="1:14" hidden="1">
      <c r="A903" s="102"/>
      <c r="B903" s="16"/>
      <c r="C903" s="16"/>
      <c r="D903" s="16"/>
      <c r="E903" s="16"/>
      <c r="F903" s="16"/>
      <c r="G903" s="17"/>
      <c r="H903" s="16"/>
      <c r="K903" s="14"/>
      <c r="L903" s="32"/>
      <c r="M903" s="14"/>
      <c r="N903" s="32"/>
    </row>
    <row r="904" spans="1:14" hidden="1">
      <c r="A904" s="102"/>
      <c r="B904" s="16"/>
      <c r="C904" s="16"/>
      <c r="D904" s="16"/>
      <c r="E904" s="16"/>
      <c r="F904" s="16"/>
      <c r="G904" s="17"/>
      <c r="H904" s="16"/>
      <c r="K904" s="14"/>
      <c r="L904" s="32"/>
      <c r="M904" s="14"/>
      <c r="N904" s="14"/>
    </row>
    <row r="905" spans="1:14" hidden="1">
      <c r="A905" s="102"/>
      <c r="B905" s="16"/>
      <c r="C905" s="16"/>
      <c r="D905" s="16"/>
      <c r="E905" s="16"/>
      <c r="F905" s="16"/>
      <c r="G905" s="17"/>
      <c r="H905" s="16"/>
      <c r="K905" s="14"/>
      <c r="L905" s="14"/>
      <c r="M905" s="14"/>
      <c r="N905" s="14"/>
    </row>
    <row r="906" spans="1:14" hidden="1">
      <c r="A906" s="102"/>
      <c r="B906" s="16"/>
      <c r="C906" s="16"/>
      <c r="D906" s="16"/>
      <c r="E906" s="16"/>
      <c r="F906" s="16"/>
      <c r="G906" s="17"/>
      <c r="H906" s="16"/>
      <c r="K906" s="14"/>
      <c r="L906" s="14"/>
      <c r="M906" s="14"/>
      <c r="N906" s="14"/>
    </row>
    <row r="907" spans="1:14" hidden="1">
      <c r="A907" s="102"/>
      <c r="B907" s="16"/>
      <c r="C907" s="16"/>
      <c r="D907" s="16"/>
      <c r="E907" s="16"/>
      <c r="F907" s="16"/>
      <c r="G907" s="17"/>
      <c r="H907" s="16"/>
      <c r="K907" s="14"/>
      <c r="L907" s="32"/>
      <c r="M907" s="14"/>
      <c r="N907" s="32"/>
    </row>
    <row r="908" spans="1:14" hidden="1">
      <c r="A908" s="102"/>
      <c r="B908" s="16"/>
      <c r="C908" s="16"/>
      <c r="D908" s="16"/>
      <c r="E908" s="16"/>
      <c r="F908" s="16"/>
      <c r="G908" s="17"/>
      <c r="H908" s="16"/>
      <c r="K908" s="14"/>
      <c r="L908" s="14"/>
      <c r="M908" s="14"/>
      <c r="N908" s="32"/>
    </row>
    <row r="909" spans="1:14" hidden="1"/>
    <row r="910" spans="1:14" hidden="1">
      <c r="A910" s="3" t="s">
        <v>70</v>
      </c>
      <c r="B910" s="4" t="s">
        <v>72</v>
      </c>
      <c r="C910" s="4" t="s">
        <v>16</v>
      </c>
      <c r="D910" s="34" t="s">
        <v>155</v>
      </c>
      <c r="E910" s="9" t="s">
        <v>156</v>
      </c>
      <c r="F910" s="10" t="s">
        <v>157</v>
      </c>
    </row>
    <row r="911" spans="1:14" hidden="1">
      <c r="A911" s="135" t="s">
        <v>63</v>
      </c>
      <c r="B911" s="99" t="s">
        <v>68</v>
      </c>
      <c r="C911" s="99">
        <v>1</v>
      </c>
      <c r="D911" s="99">
        <f>C911</f>
        <v>1</v>
      </c>
      <c r="E911" s="138">
        <f>D911+D913+D915</f>
        <v>1.6666666666666665</v>
      </c>
      <c r="F911" s="141">
        <f>E911/12</f>
        <v>0.13888888888888887</v>
      </c>
    </row>
    <row r="912" spans="1:14" hidden="1">
      <c r="A912" s="136"/>
      <c r="B912" s="144" t="s">
        <v>65</v>
      </c>
      <c r="C912" s="144">
        <v>2</v>
      </c>
      <c r="D912" s="35" t="s">
        <v>158</v>
      </c>
      <c r="E912" s="139"/>
      <c r="F912" s="142"/>
    </row>
    <row r="913" spans="1:14" hidden="1">
      <c r="A913" s="136"/>
      <c r="B913" s="145"/>
      <c r="C913" s="145"/>
      <c r="D913" s="16">
        <f>C912/3</f>
        <v>0.66666666666666663</v>
      </c>
      <c r="E913" s="139"/>
      <c r="F913" s="142"/>
    </row>
    <row r="914" spans="1:14" hidden="1">
      <c r="A914" s="136"/>
      <c r="B914" s="144" t="s">
        <v>69</v>
      </c>
      <c r="C914" s="144">
        <v>5</v>
      </c>
      <c r="D914" s="35" t="s">
        <v>159</v>
      </c>
      <c r="E914" s="139"/>
      <c r="F914" s="142"/>
    </row>
    <row r="915" spans="1:14" hidden="1">
      <c r="A915" s="137"/>
      <c r="B915" s="145"/>
      <c r="C915" s="145"/>
      <c r="D915" s="16">
        <v>0</v>
      </c>
      <c r="E915" s="140"/>
      <c r="F915" s="143"/>
    </row>
    <row r="916" spans="1:14" hidden="1">
      <c r="A916" s="36" t="s">
        <v>70</v>
      </c>
      <c r="B916" s="37" t="s">
        <v>72</v>
      </c>
      <c r="C916" s="37" t="s">
        <v>16</v>
      </c>
      <c r="D916" s="146" t="s">
        <v>160</v>
      </c>
      <c r="E916" s="147"/>
      <c r="F916" s="148"/>
    </row>
    <row r="917" spans="1:14" hidden="1">
      <c r="A917" s="149" t="s">
        <v>62</v>
      </c>
      <c r="B917" s="16" t="s">
        <v>68</v>
      </c>
      <c r="C917" s="16">
        <v>4</v>
      </c>
      <c r="D917" s="151">
        <f>C917/9</f>
        <v>0.44444444444444442</v>
      </c>
      <c r="E917" s="152"/>
      <c r="F917" s="153"/>
    </row>
    <row r="918" spans="1:14" ht="16.5" hidden="1" thickBot="1">
      <c r="A918" s="150"/>
      <c r="B918" s="20" t="s">
        <v>69</v>
      </c>
      <c r="C918" s="20">
        <v>2</v>
      </c>
      <c r="D918" s="154"/>
      <c r="E918" s="155"/>
      <c r="F918" s="156"/>
    </row>
    <row r="919" spans="1:14" hidden="1"/>
    <row r="920" spans="1:14" hidden="1">
      <c r="A920" t="s">
        <v>2159</v>
      </c>
    </row>
    <row r="921" spans="1:14" hidden="1">
      <c r="A921" s="37" t="s">
        <v>58</v>
      </c>
      <c r="B921" s="37" t="s">
        <v>67</v>
      </c>
      <c r="C921" s="37" t="s">
        <v>3</v>
      </c>
      <c r="D921" s="37" t="s">
        <v>57</v>
      </c>
      <c r="E921" s="37" t="s">
        <v>59</v>
      </c>
      <c r="F921" s="37" t="s">
        <v>61</v>
      </c>
      <c r="G921" s="37" t="s">
        <v>60</v>
      </c>
      <c r="H921" s="37" t="s">
        <v>66</v>
      </c>
      <c r="K921" s="14"/>
      <c r="L921" s="14"/>
      <c r="M921" s="32"/>
      <c r="N921" s="14"/>
    </row>
    <row r="922" spans="1:14" hidden="1">
      <c r="A922" s="102">
        <v>46013</v>
      </c>
      <c r="B922" s="16" t="s">
        <v>75</v>
      </c>
      <c r="C922" s="16" t="s">
        <v>1256</v>
      </c>
      <c r="D922" s="16" t="s">
        <v>1271</v>
      </c>
      <c r="E922" s="16" t="s">
        <v>41</v>
      </c>
      <c r="F922" s="16" t="s">
        <v>77</v>
      </c>
      <c r="G922" s="17" t="s">
        <v>1385</v>
      </c>
      <c r="H922" s="16"/>
      <c r="K922" s="14"/>
      <c r="L922" s="32"/>
      <c r="M922" s="14"/>
      <c r="N922" s="32"/>
    </row>
    <row r="923" spans="1:14" ht="31.5" hidden="1">
      <c r="A923" s="102">
        <v>46014</v>
      </c>
      <c r="B923" s="16" t="s">
        <v>197</v>
      </c>
      <c r="C923" s="16" t="s">
        <v>1261</v>
      </c>
      <c r="D923" s="16" t="s">
        <v>2160</v>
      </c>
      <c r="E923" s="16" t="s">
        <v>41</v>
      </c>
      <c r="F923" s="16" t="s">
        <v>77</v>
      </c>
      <c r="G923" s="17" t="s">
        <v>2161</v>
      </c>
      <c r="H923" s="16"/>
      <c r="K923" s="14"/>
      <c r="L923" s="32"/>
      <c r="M923" s="14"/>
      <c r="N923" s="32"/>
    </row>
    <row r="924" spans="1:14" hidden="1">
      <c r="A924" s="102">
        <v>46014</v>
      </c>
      <c r="B924" s="16" t="s">
        <v>91</v>
      </c>
      <c r="C924" s="16" t="s">
        <v>2153</v>
      </c>
      <c r="D924" s="16" t="s">
        <v>2154</v>
      </c>
      <c r="E924" s="16" t="s">
        <v>40</v>
      </c>
      <c r="F924" s="16" t="s">
        <v>77</v>
      </c>
      <c r="G924" s="17"/>
      <c r="H924" s="16"/>
      <c r="K924" s="14"/>
      <c r="L924" s="14"/>
      <c r="M924" s="14"/>
      <c r="N924" s="14"/>
    </row>
    <row r="925" spans="1:14" hidden="1">
      <c r="A925" s="102">
        <v>46014</v>
      </c>
      <c r="B925" s="16" t="s">
        <v>197</v>
      </c>
      <c r="C925" s="16" t="s">
        <v>532</v>
      </c>
      <c r="D925" s="16" t="s">
        <v>539</v>
      </c>
      <c r="E925" s="16" t="s">
        <v>41</v>
      </c>
      <c r="F925" s="16" t="s">
        <v>71</v>
      </c>
      <c r="G925" s="17" t="s">
        <v>2162</v>
      </c>
      <c r="H925" s="16"/>
      <c r="K925" s="14"/>
      <c r="L925" s="14"/>
      <c r="M925" s="14"/>
      <c r="N925" s="14"/>
    </row>
    <row r="926" spans="1:14" hidden="1">
      <c r="A926" s="102">
        <v>46015</v>
      </c>
      <c r="B926" s="16" t="s">
        <v>76</v>
      </c>
      <c r="C926" s="16" t="s">
        <v>1202</v>
      </c>
      <c r="D926" s="16" t="s">
        <v>2163</v>
      </c>
      <c r="E926" s="16" t="s">
        <v>41</v>
      </c>
      <c r="F926" s="16" t="s">
        <v>71</v>
      </c>
      <c r="G926" s="17" t="s">
        <v>2164</v>
      </c>
      <c r="H926" s="16"/>
      <c r="K926" s="14"/>
      <c r="L926" s="14"/>
      <c r="M926" s="14"/>
      <c r="N926" s="14"/>
    </row>
    <row r="927" spans="1:14" hidden="1">
      <c r="A927" s="102">
        <v>46015</v>
      </c>
      <c r="B927" s="16" t="s">
        <v>197</v>
      </c>
      <c r="C927" s="16" t="s">
        <v>2165</v>
      </c>
      <c r="D927" s="16" t="s">
        <v>2166</v>
      </c>
      <c r="E927" s="16" t="s">
        <v>41</v>
      </c>
      <c r="F927" s="16" t="s">
        <v>71</v>
      </c>
      <c r="G927" s="17" t="s">
        <v>2167</v>
      </c>
      <c r="H927" s="16"/>
      <c r="K927" s="14"/>
      <c r="L927" s="14"/>
      <c r="M927" s="14"/>
      <c r="N927" s="14"/>
    </row>
    <row r="928" spans="1:14" hidden="1">
      <c r="A928" s="102">
        <v>46015</v>
      </c>
      <c r="B928" s="16" t="s">
        <v>197</v>
      </c>
      <c r="C928" s="16" t="s">
        <v>1442</v>
      </c>
      <c r="D928" s="16" t="s">
        <v>2168</v>
      </c>
      <c r="E928" s="16" t="s">
        <v>41</v>
      </c>
      <c r="F928" s="16" t="s">
        <v>77</v>
      </c>
      <c r="G928" s="17" t="s">
        <v>2169</v>
      </c>
      <c r="H928" s="16"/>
      <c r="K928" s="14"/>
      <c r="L928" s="14"/>
      <c r="M928" s="14"/>
      <c r="N928" s="14"/>
    </row>
    <row r="929" spans="1:14" hidden="1">
      <c r="A929" s="102">
        <v>46015</v>
      </c>
      <c r="B929" s="16" t="s">
        <v>75</v>
      </c>
      <c r="C929" s="16" t="s">
        <v>1233</v>
      </c>
      <c r="D929" s="16" t="s">
        <v>1242</v>
      </c>
      <c r="E929" s="16" t="s">
        <v>41</v>
      </c>
      <c r="F929" s="16" t="s">
        <v>77</v>
      </c>
      <c r="G929" s="17"/>
      <c r="H929" s="16"/>
      <c r="K929" s="14"/>
      <c r="L929" s="14"/>
      <c r="M929" s="14"/>
      <c r="N929" s="14"/>
    </row>
    <row r="930" spans="1:14" hidden="1">
      <c r="A930" s="102">
        <v>46015</v>
      </c>
      <c r="B930" s="16" t="s">
        <v>76</v>
      </c>
      <c r="C930" s="16" t="s">
        <v>1233</v>
      </c>
      <c r="D930" s="16" t="s">
        <v>2170</v>
      </c>
      <c r="E930" s="16" t="s">
        <v>41</v>
      </c>
      <c r="F930" s="16" t="s">
        <v>77</v>
      </c>
      <c r="G930" s="17" t="s">
        <v>2171</v>
      </c>
      <c r="H930" s="16"/>
      <c r="K930" s="14"/>
      <c r="L930" s="14"/>
      <c r="M930" s="14"/>
      <c r="N930" s="14"/>
    </row>
    <row r="931" spans="1:14" ht="31.5" hidden="1">
      <c r="A931" s="102">
        <v>46017</v>
      </c>
      <c r="B931" s="16" t="s">
        <v>197</v>
      </c>
      <c r="C931" s="16" t="s">
        <v>2172</v>
      </c>
      <c r="D931" s="16" t="s">
        <v>2173</v>
      </c>
      <c r="E931" s="16" t="s">
        <v>41</v>
      </c>
      <c r="F931" s="16" t="s">
        <v>71</v>
      </c>
      <c r="G931" s="17" t="s">
        <v>2174</v>
      </c>
      <c r="H931" s="16"/>
      <c r="K931" s="14"/>
      <c r="L931" s="14"/>
      <c r="M931" s="14"/>
      <c r="N931" s="14"/>
    </row>
    <row r="932" spans="1:14" hidden="1">
      <c r="A932" s="102">
        <v>46017</v>
      </c>
      <c r="B932" s="16" t="s">
        <v>197</v>
      </c>
      <c r="C932" s="16" t="s">
        <v>2175</v>
      </c>
      <c r="D932" s="16" t="s">
        <v>2127</v>
      </c>
      <c r="E932" s="16" t="s">
        <v>41</v>
      </c>
      <c r="F932" s="16" t="s">
        <v>71</v>
      </c>
      <c r="G932" s="17" t="s">
        <v>2176</v>
      </c>
      <c r="H932" s="16"/>
      <c r="K932" s="14"/>
      <c r="L932" s="14"/>
      <c r="M932" s="14"/>
      <c r="N932" s="14"/>
    </row>
    <row r="933" spans="1:14" ht="63" hidden="1">
      <c r="A933" s="102">
        <v>46017</v>
      </c>
      <c r="B933" s="16" t="s">
        <v>197</v>
      </c>
      <c r="C933" s="16" t="s">
        <v>458</v>
      </c>
      <c r="D933" s="16" t="s">
        <v>2092</v>
      </c>
      <c r="E933" s="16" t="s">
        <v>41</v>
      </c>
      <c r="F933" s="16" t="s">
        <v>77</v>
      </c>
      <c r="G933" s="17" t="s">
        <v>2177</v>
      </c>
      <c r="H933" s="16"/>
      <c r="K933" s="14"/>
      <c r="L933" s="14"/>
      <c r="M933" s="14"/>
      <c r="N933" s="14"/>
    </row>
    <row r="934" spans="1:14" hidden="1">
      <c r="A934" s="102">
        <v>46017</v>
      </c>
      <c r="B934" s="16" t="s">
        <v>75</v>
      </c>
      <c r="C934" s="16" t="s">
        <v>458</v>
      </c>
      <c r="D934" s="16" t="s">
        <v>2178</v>
      </c>
      <c r="E934" s="16" t="s">
        <v>41</v>
      </c>
      <c r="F934" s="16" t="s">
        <v>77</v>
      </c>
      <c r="G934" s="17" t="s">
        <v>613</v>
      </c>
      <c r="H934" s="16"/>
      <c r="K934" s="14"/>
      <c r="L934" s="14"/>
      <c r="M934" s="14"/>
      <c r="N934" s="14"/>
    </row>
    <row r="935" spans="1:14" ht="47.25" hidden="1">
      <c r="A935" s="102">
        <v>46017</v>
      </c>
      <c r="B935" s="16" t="s">
        <v>75</v>
      </c>
      <c r="C935" s="16" t="s">
        <v>458</v>
      </c>
      <c r="D935" s="16" t="s">
        <v>2179</v>
      </c>
      <c r="E935" s="16" t="s">
        <v>41</v>
      </c>
      <c r="F935" s="16" t="s">
        <v>64</v>
      </c>
      <c r="G935" s="17" t="s">
        <v>2180</v>
      </c>
      <c r="H935" s="16"/>
      <c r="K935" s="14"/>
      <c r="L935" s="14"/>
      <c r="M935" s="14"/>
      <c r="N935" s="14"/>
    </row>
    <row r="936" spans="1:14" hidden="1">
      <c r="A936" s="102">
        <v>46017</v>
      </c>
      <c r="B936" s="16" t="s">
        <v>75</v>
      </c>
      <c r="C936" s="16" t="s">
        <v>73</v>
      </c>
      <c r="D936" s="16" t="s">
        <v>2181</v>
      </c>
      <c r="E936" s="16" t="s">
        <v>41</v>
      </c>
      <c r="F936" s="16" t="s">
        <v>77</v>
      </c>
      <c r="G936" s="17" t="s">
        <v>1385</v>
      </c>
      <c r="H936" s="16"/>
      <c r="K936" s="14"/>
      <c r="L936" s="14"/>
      <c r="M936" s="14"/>
      <c r="N936" s="14"/>
    </row>
    <row r="937" spans="1:14" hidden="1">
      <c r="A937" s="102">
        <v>46017</v>
      </c>
      <c r="B937" s="16" t="s">
        <v>91</v>
      </c>
      <c r="C937" s="16" t="s">
        <v>2182</v>
      </c>
      <c r="D937" s="16" t="s">
        <v>1996</v>
      </c>
      <c r="E937" s="16" t="s">
        <v>41</v>
      </c>
      <c r="F937" s="16" t="s">
        <v>64</v>
      </c>
      <c r="G937" s="17" t="s">
        <v>2183</v>
      </c>
      <c r="H937" s="16"/>
      <c r="K937" s="14"/>
      <c r="L937" s="32"/>
      <c r="M937" s="14"/>
      <c r="N937" s="14"/>
    </row>
    <row r="938" spans="1:14" hidden="1">
      <c r="A938" s="102">
        <v>46017</v>
      </c>
      <c r="B938" s="16" t="s">
        <v>91</v>
      </c>
      <c r="C938" s="16" t="s">
        <v>2184</v>
      </c>
      <c r="D938" s="16" t="s">
        <v>2185</v>
      </c>
      <c r="E938" s="16" t="s">
        <v>41</v>
      </c>
      <c r="F938" s="16" t="s">
        <v>77</v>
      </c>
      <c r="G938" s="17" t="s">
        <v>2186</v>
      </c>
      <c r="H938" s="16"/>
      <c r="K938" s="14"/>
      <c r="L938" s="32"/>
      <c r="M938" s="14"/>
      <c r="N938" s="14"/>
    </row>
    <row r="939" spans="1:14" hidden="1">
      <c r="A939" s="102">
        <v>46017</v>
      </c>
      <c r="B939" s="16" t="s">
        <v>91</v>
      </c>
      <c r="C939" s="16" t="s">
        <v>2184</v>
      </c>
      <c r="D939" s="16" t="s">
        <v>2187</v>
      </c>
      <c r="E939" s="16" t="s">
        <v>41</v>
      </c>
      <c r="F939" s="16" t="s">
        <v>77</v>
      </c>
      <c r="G939" s="17" t="s">
        <v>2186</v>
      </c>
      <c r="H939" s="16"/>
      <c r="K939" s="14"/>
      <c r="L939" s="32"/>
      <c r="M939" s="14"/>
      <c r="N939" s="32"/>
    </row>
    <row r="940" spans="1:14" hidden="1">
      <c r="A940" s="102">
        <v>46017</v>
      </c>
      <c r="B940" s="16" t="s">
        <v>91</v>
      </c>
      <c r="C940" s="16" t="s">
        <v>2184</v>
      </c>
      <c r="D940" s="16" t="s">
        <v>2188</v>
      </c>
      <c r="E940" s="16" t="s">
        <v>41</v>
      </c>
      <c r="F940" s="16" t="s">
        <v>77</v>
      </c>
      <c r="G940" s="17" t="s">
        <v>2189</v>
      </c>
      <c r="H940" s="16"/>
      <c r="K940" s="14"/>
      <c r="L940" s="32"/>
      <c r="M940" s="14"/>
      <c r="N940" s="32"/>
    </row>
    <row r="941" spans="1:14" hidden="1">
      <c r="A941" s="102"/>
      <c r="B941" s="16"/>
      <c r="C941" s="16"/>
      <c r="D941" s="16"/>
      <c r="E941" s="16"/>
      <c r="F941" s="16"/>
      <c r="G941" s="17"/>
      <c r="H941" s="16"/>
      <c r="K941" s="14"/>
      <c r="L941" s="32"/>
      <c r="M941" s="14"/>
      <c r="N941" s="32"/>
    </row>
    <row r="942" spans="1:14" hidden="1">
      <c r="A942" s="102"/>
      <c r="B942" s="16"/>
      <c r="C942" s="16"/>
      <c r="D942" s="16"/>
      <c r="E942" s="16"/>
      <c r="F942" s="16"/>
      <c r="G942" s="17"/>
      <c r="H942" s="16"/>
      <c r="K942" s="14"/>
      <c r="L942" s="32"/>
      <c r="M942" s="14"/>
      <c r="N942" s="32"/>
    </row>
    <row r="943" spans="1:14" hidden="1">
      <c r="A943" s="102"/>
      <c r="B943" s="16"/>
      <c r="C943" s="16"/>
      <c r="D943" s="16"/>
      <c r="E943" s="16"/>
      <c r="F943" s="16"/>
      <c r="G943" s="17"/>
      <c r="H943" s="16"/>
      <c r="K943" s="14"/>
      <c r="L943" s="32"/>
      <c r="M943" s="14"/>
      <c r="N943" s="14"/>
    </row>
    <row r="944" spans="1:14" hidden="1">
      <c r="A944" s="102"/>
      <c r="B944" s="16"/>
      <c r="C944" s="16"/>
      <c r="D944" s="16"/>
      <c r="E944" s="16"/>
      <c r="F944" s="16"/>
      <c r="G944" s="17"/>
      <c r="H944" s="16"/>
      <c r="K944" s="14"/>
      <c r="L944" s="14"/>
      <c r="M944" s="14"/>
      <c r="N944" s="14"/>
    </row>
    <row r="945" spans="1:14" hidden="1">
      <c r="A945" s="102"/>
      <c r="B945" s="16"/>
      <c r="C945" s="16"/>
      <c r="D945" s="16"/>
      <c r="E945" s="16"/>
      <c r="F945" s="16"/>
      <c r="G945" s="17"/>
      <c r="H945" s="16"/>
      <c r="K945" s="14"/>
      <c r="L945" s="14"/>
      <c r="M945" s="14"/>
      <c r="N945" s="14"/>
    </row>
    <row r="946" spans="1:14" hidden="1">
      <c r="A946" s="102"/>
      <c r="B946" s="16"/>
      <c r="C946" s="16"/>
      <c r="D946" s="16"/>
      <c r="E946" s="16"/>
      <c r="F946" s="16"/>
      <c r="G946" s="17"/>
      <c r="H946" s="16"/>
      <c r="K946" s="14"/>
      <c r="L946" s="32"/>
      <c r="M946" s="14"/>
      <c r="N946" s="32"/>
    </row>
    <row r="947" spans="1:14" hidden="1">
      <c r="A947" s="102"/>
      <c r="B947" s="16"/>
      <c r="C947" s="16"/>
      <c r="D947" s="16"/>
      <c r="E947" s="16"/>
      <c r="F947" s="16"/>
      <c r="G947" s="17"/>
      <c r="H947" s="16"/>
      <c r="K947" s="14"/>
      <c r="L947" s="14"/>
      <c r="M947" s="14"/>
      <c r="N947" s="32"/>
    </row>
    <row r="948" spans="1:14" hidden="1"/>
    <row r="949" spans="1:14" hidden="1">
      <c r="A949" s="3" t="s">
        <v>70</v>
      </c>
      <c r="B949" s="4" t="s">
        <v>72</v>
      </c>
      <c r="C949" s="4" t="s">
        <v>16</v>
      </c>
      <c r="D949" s="34" t="s">
        <v>155</v>
      </c>
      <c r="E949" s="9" t="s">
        <v>156</v>
      </c>
      <c r="F949" s="10" t="s">
        <v>157</v>
      </c>
    </row>
    <row r="950" spans="1:14" hidden="1">
      <c r="A950" s="135" t="s">
        <v>63</v>
      </c>
      <c r="B950" s="99" t="s">
        <v>68</v>
      </c>
      <c r="C950" s="99">
        <v>5</v>
      </c>
      <c r="D950" s="99">
        <f>C950</f>
        <v>5</v>
      </c>
      <c r="E950" s="138">
        <f>D950+D952+D954</f>
        <v>5.666666666666667</v>
      </c>
      <c r="F950" s="141">
        <f>E950/12</f>
        <v>0.47222222222222227</v>
      </c>
    </row>
    <row r="951" spans="1:14" hidden="1">
      <c r="A951" s="136"/>
      <c r="B951" s="144" t="s">
        <v>65</v>
      </c>
      <c r="C951" s="144">
        <v>2</v>
      </c>
      <c r="D951" s="35" t="s">
        <v>158</v>
      </c>
      <c r="E951" s="139"/>
      <c r="F951" s="142"/>
    </row>
    <row r="952" spans="1:14" hidden="1">
      <c r="A952" s="136"/>
      <c r="B952" s="145"/>
      <c r="C952" s="145"/>
      <c r="D952" s="16">
        <f>C951/3</f>
        <v>0.66666666666666663</v>
      </c>
      <c r="E952" s="139"/>
      <c r="F952" s="142"/>
    </row>
    <row r="953" spans="1:14" hidden="1">
      <c r="A953" s="136"/>
      <c r="B953" s="144" t="s">
        <v>69</v>
      </c>
      <c r="C953" s="144">
        <v>11</v>
      </c>
      <c r="D953" s="35" t="s">
        <v>159</v>
      </c>
      <c r="E953" s="139"/>
      <c r="F953" s="142"/>
    </row>
    <row r="954" spans="1:14" hidden="1">
      <c r="A954" s="137"/>
      <c r="B954" s="145"/>
      <c r="C954" s="145"/>
      <c r="D954" s="16">
        <v>0</v>
      </c>
      <c r="E954" s="140"/>
      <c r="F954" s="143"/>
    </row>
    <row r="955" spans="1:14" hidden="1">
      <c r="A955" s="36" t="s">
        <v>70</v>
      </c>
      <c r="B955" s="37" t="s">
        <v>72</v>
      </c>
      <c r="C955" s="37" t="s">
        <v>16</v>
      </c>
      <c r="D955" s="146" t="s">
        <v>160</v>
      </c>
      <c r="E955" s="147"/>
      <c r="F955" s="148"/>
    </row>
    <row r="956" spans="1:14" hidden="1">
      <c r="A956" s="149" t="s">
        <v>62</v>
      </c>
      <c r="B956" s="16" t="s">
        <v>68</v>
      </c>
      <c r="C956" s="16">
        <v>0</v>
      </c>
      <c r="D956" s="151">
        <f>C956/9</f>
        <v>0</v>
      </c>
      <c r="E956" s="152"/>
      <c r="F956" s="153"/>
    </row>
    <row r="957" spans="1:14" ht="16.5" hidden="1" thickBot="1">
      <c r="A957" s="150"/>
      <c r="B957" s="20" t="s">
        <v>69</v>
      </c>
      <c r="C957" s="20">
        <v>1</v>
      </c>
      <c r="D957" s="154"/>
      <c r="E957" s="155"/>
      <c r="F957" s="156"/>
    </row>
    <row r="958" spans="1:14" hidden="1"/>
    <row r="959" spans="1:14" hidden="1">
      <c r="A959" t="s">
        <v>2190</v>
      </c>
    </row>
    <row r="960" spans="1:14" hidden="1">
      <c r="A960" s="37" t="s">
        <v>58</v>
      </c>
      <c r="B960" s="37" t="s">
        <v>67</v>
      </c>
      <c r="C960" s="37" t="s">
        <v>3</v>
      </c>
      <c r="D960" s="37" t="s">
        <v>57</v>
      </c>
      <c r="E960" s="37" t="s">
        <v>59</v>
      </c>
      <c r="F960" s="37" t="s">
        <v>61</v>
      </c>
      <c r="G960" s="37" t="s">
        <v>60</v>
      </c>
      <c r="H960" s="37" t="s">
        <v>66</v>
      </c>
      <c r="K960" s="14"/>
      <c r="L960" s="14"/>
      <c r="M960" s="32"/>
      <c r="N960" s="14"/>
    </row>
    <row r="961" spans="1:14" ht="47.25" hidden="1">
      <c r="A961" s="102">
        <v>46019</v>
      </c>
      <c r="B961" s="16" t="s">
        <v>197</v>
      </c>
      <c r="C961" s="16" t="s">
        <v>532</v>
      </c>
      <c r="D961" s="16" t="s">
        <v>539</v>
      </c>
      <c r="E961" s="16" t="s">
        <v>41</v>
      </c>
      <c r="F961" s="16" t="s">
        <v>71</v>
      </c>
      <c r="G961" s="17" t="s">
        <v>2191</v>
      </c>
      <c r="H961" s="16"/>
      <c r="K961" s="14"/>
      <c r="L961" s="14"/>
      <c r="M961" s="14"/>
      <c r="N961" s="14"/>
    </row>
    <row r="962" spans="1:14" ht="31.5" hidden="1">
      <c r="A962" s="102">
        <v>46019</v>
      </c>
      <c r="B962" s="16" t="s">
        <v>91</v>
      </c>
      <c r="C962" s="16" t="s">
        <v>1026</v>
      </c>
      <c r="D962" s="16" t="s">
        <v>1029</v>
      </c>
      <c r="E962" s="16" t="s">
        <v>41</v>
      </c>
      <c r="F962" s="16" t="s">
        <v>77</v>
      </c>
      <c r="G962" s="17" t="s">
        <v>2192</v>
      </c>
      <c r="H962" s="16"/>
      <c r="K962" s="14"/>
      <c r="L962" s="14"/>
      <c r="M962" s="14"/>
      <c r="N962" s="14"/>
    </row>
    <row r="963" spans="1:14" hidden="1">
      <c r="A963" s="102">
        <v>46019</v>
      </c>
      <c r="B963" s="16" t="s">
        <v>91</v>
      </c>
      <c r="C963" s="16" t="s">
        <v>1026</v>
      </c>
      <c r="D963" s="16" t="s">
        <v>2193</v>
      </c>
      <c r="E963" s="16" t="s">
        <v>41</v>
      </c>
      <c r="F963" s="16" t="s">
        <v>77</v>
      </c>
      <c r="G963" s="17" t="s">
        <v>1385</v>
      </c>
      <c r="H963" s="16"/>
      <c r="K963" s="14"/>
      <c r="L963" s="14"/>
      <c r="M963" s="14"/>
      <c r="N963" s="14"/>
    </row>
    <row r="964" spans="1:14" hidden="1">
      <c r="A964" s="102">
        <v>46020</v>
      </c>
      <c r="B964" s="16" t="s">
        <v>75</v>
      </c>
      <c r="C964" s="16" t="s">
        <v>73</v>
      </c>
      <c r="D964" s="16" t="s">
        <v>2181</v>
      </c>
      <c r="E964" s="16" t="s">
        <v>41</v>
      </c>
      <c r="F964" s="16" t="s">
        <v>77</v>
      </c>
      <c r="G964" s="17" t="s">
        <v>1548</v>
      </c>
      <c r="H964" s="16"/>
      <c r="K964" s="14"/>
      <c r="L964" s="14"/>
      <c r="M964" s="14"/>
      <c r="N964" s="14"/>
    </row>
    <row r="965" spans="1:14" hidden="1">
      <c r="A965" s="102">
        <v>46020</v>
      </c>
      <c r="B965" s="16" t="s">
        <v>91</v>
      </c>
      <c r="C965" s="16" t="s">
        <v>2184</v>
      </c>
      <c r="D965" s="16" t="s">
        <v>2185</v>
      </c>
      <c r="E965" s="16" t="s">
        <v>41</v>
      </c>
      <c r="F965" s="16" t="s">
        <v>77</v>
      </c>
      <c r="G965" s="17" t="s">
        <v>2186</v>
      </c>
      <c r="H965" s="16"/>
      <c r="K965" s="14"/>
      <c r="L965" s="32"/>
      <c r="M965" s="14"/>
      <c r="N965" s="14"/>
    </row>
    <row r="966" spans="1:14" hidden="1">
      <c r="A966" s="102">
        <v>46020</v>
      </c>
      <c r="B966" s="16" t="s">
        <v>91</v>
      </c>
      <c r="C966" s="16" t="s">
        <v>2184</v>
      </c>
      <c r="D966" s="16" t="s">
        <v>2187</v>
      </c>
      <c r="E966" s="16" t="s">
        <v>41</v>
      </c>
      <c r="F966" s="16" t="s">
        <v>77</v>
      </c>
      <c r="G966" s="17" t="s">
        <v>2186</v>
      </c>
      <c r="H966" s="16"/>
      <c r="K966" s="14"/>
      <c r="L966" s="32"/>
      <c r="M966" s="14"/>
      <c r="N966" s="32"/>
    </row>
    <row r="967" spans="1:14" hidden="1">
      <c r="A967" s="102">
        <v>46020</v>
      </c>
      <c r="B967" s="16" t="s">
        <v>91</v>
      </c>
      <c r="C967" s="16" t="s">
        <v>2184</v>
      </c>
      <c r="D967" s="16" t="s">
        <v>2188</v>
      </c>
      <c r="E967" s="16" t="s">
        <v>41</v>
      </c>
      <c r="F967" s="16" t="s">
        <v>77</v>
      </c>
      <c r="G967" s="17" t="s">
        <v>2189</v>
      </c>
      <c r="H967" s="16"/>
      <c r="K967" s="14"/>
      <c r="L967" s="32"/>
      <c r="M967" s="14"/>
      <c r="N967" s="32"/>
    </row>
    <row r="968" spans="1:14" hidden="1">
      <c r="A968" s="102">
        <v>46021</v>
      </c>
      <c r="B968" s="16" t="s">
        <v>91</v>
      </c>
      <c r="C968" s="16" t="s">
        <v>2194</v>
      </c>
      <c r="D968" s="16" t="s">
        <v>2195</v>
      </c>
      <c r="E968" s="16" t="s">
        <v>41</v>
      </c>
      <c r="F968" s="16" t="s">
        <v>77</v>
      </c>
      <c r="G968" s="17" t="s">
        <v>2189</v>
      </c>
      <c r="H968" s="16"/>
      <c r="K968" s="14"/>
      <c r="L968" s="32"/>
      <c r="M968" s="14"/>
      <c r="N968" s="32"/>
    </row>
    <row r="969" spans="1:14" hidden="1">
      <c r="A969" s="102">
        <v>46021</v>
      </c>
      <c r="B969" s="16" t="s">
        <v>91</v>
      </c>
      <c r="C969" s="16" t="s">
        <v>2194</v>
      </c>
      <c r="D969" s="16" t="s">
        <v>2196</v>
      </c>
      <c r="E969" s="16" t="s">
        <v>41</v>
      </c>
      <c r="F969" s="16" t="s">
        <v>77</v>
      </c>
      <c r="G969" s="17" t="s">
        <v>2189</v>
      </c>
      <c r="H969" s="16"/>
      <c r="K969" s="14"/>
      <c r="L969" s="32"/>
      <c r="M969" s="14"/>
      <c r="N969" s="32"/>
    </row>
    <row r="970" spans="1:14" hidden="1">
      <c r="A970" s="102">
        <v>46021</v>
      </c>
      <c r="B970" s="16" t="s">
        <v>91</v>
      </c>
      <c r="C970" s="16" t="s">
        <v>2194</v>
      </c>
      <c r="D970" s="16" t="s">
        <v>2197</v>
      </c>
      <c r="E970" s="16" t="s">
        <v>41</v>
      </c>
      <c r="F970" s="16" t="s">
        <v>77</v>
      </c>
      <c r="G970" s="17" t="s">
        <v>2189</v>
      </c>
      <c r="H970" s="16"/>
      <c r="K970" s="14"/>
      <c r="L970" s="32"/>
      <c r="M970" s="14"/>
      <c r="N970" s="32"/>
    </row>
    <row r="971" spans="1:14" hidden="1">
      <c r="A971" s="102">
        <v>46022</v>
      </c>
      <c r="B971" s="16" t="s">
        <v>76</v>
      </c>
      <c r="C971" s="16" t="s">
        <v>1323</v>
      </c>
      <c r="D971" s="16" t="s">
        <v>2198</v>
      </c>
      <c r="E971" s="16" t="s">
        <v>41</v>
      </c>
      <c r="F971" s="16" t="s">
        <v>77</v>
      </c>
      <c r="G971" s="17" t="s">
        <v>2199</v>
      </c>
      <c r="H971" s="16"/>
      <c r="K971" s="14"/>
      <c r="L971" s="32"/>
      <c r="M971" s="14"/>
      <c r="N971" s="32"/>
    </row>
    <row r="972" spans="1:14" ht="31.5" hidden="1">
      <c r="A972" s="102">
        <v>46022</v>
      </c>
      <c r="B972" s="16" t="s">
        <v>76</v>
      </c>
      <c r="C972" s="16" t="s">
        <v>1323</v>
      </c>
      <c r="D972" s="16" t="s">
        <v>1433</v>
      </c>
      <c r="E972" s="16" t="s">
        <v>41</v>
      </c>
      <c r="F972" s="16" t="s">
        <v>77</v>
      </c>
      <c r="G972" s="17" t="s">
        <v>2200</v>
      </c>
      <c r="H972" s="16"/>
      <c r="K972" s="14"/>
      <c r="L972" s="32"/>
      <c r="M972" s="14"/>
      <c r="N972" s="32"/>
    </row>
    <row r="973" spans="1:14" ht="31.5" hidden="1">
      <c r="A973" s="102">
        <v>46022</v>
      </c>
      <c r="B973" s="16" t="s">
        <v>91</v>
      </c>
      <c r="C973" s="16" t="s">
        <v>2182</v>
      </c>
      <c r="D973" s="16" t="s">
        <v>1996</v>
      </c>
      <c r="E973" s="16" t="s">
        <v>41</v>
      </c>
      <c r="F973" s="16" t="s">
        <v>64</v>
      </c>
      <c r="G973" s="17" t="s">
        <v>2201</v>
      </c>
      <c r="H973" s="16"/>
      <c r="K973" s="14"/>
      <c r="L973" s="32"/>
      <c r="M973" s="14"/>
      <c r="N973" s="14"/>
    </row>
    <row r="974" spans="1:14" ht="31.5" hidden="1">
      <c r="A974" s="102">
        <v>46022</v>
      </c>
      <c r="B974" s="16" t="s">
        <v>91</v>
      </c>
      <c r="C974" s="16" t="s">
        <v>2182</v>
      </c>
      <c r="D974" s="16" t="s">
        <v>2202</v>
      </c>
      <c r="E974" s="16" t="s">
        <v>41</v>
      </c>
      <c r="F974" s="16" t="s">
        <v>64</v>
      </c>
      <c r="G974" s="17" t="s">
        <v>2203</v>
      </c>
      <c r="H974" s="16"/>
      <c r="K974" s="14"/>
      <c r="L974" s="32"/>
      <c r="M974" s="14"/>
      <c r="N974" s="14"/>
    </row>
    <row r="975" spans="1:14" ht="31.5" hidden="1">
      <c r="A975" s="102">
        <v>46024</v>
      </c>
      <c r="B975" s="16" t="s">
        <v>197</v>
      </c>
      <c r="C975" s="16" t="s">
        <v>1314</v>
      </c>
      <c r="D975" s="16" t="s">
        <v>1315</v>
      </c>
      <c r="E975" s="16" t="s">
        <v>41</v>
      </c>
      <c r="F975" s="16" t="s">
        <v>71</v>
      </c>
      <c r="G975" s="17" t="s">
        <v>2204</v>
      </c>
      <c r="H975" s="16"/>
      <c r="K975" s="14"/>
      <c r="L975" s="32"/>
      <c r="M975" s="14"/>
      <c r="N975" s="14"/>
    </row>
    <row r="976" spans="1:14" hidden="1">
      <c r="A976" s="102"/>
      <c r="B976" s="16"/>
      <c r="C976" s="16"/>
      <c r="D976" s="16"/>
      <c r="E976" s="16"/>
      <c r="F976" s="16"/>
      <c r="G976" s="17"/>
      <c r="H976" s="16"/>
      <c r="K976" s="14"/>
      <c r="L976" s="14"/>
      <c r="M976" s="14"/>
      <c r="N976" s="14"/>
    </row>
    <row r="977" spans="1:14" hidden="1">
      <c r="A977" s="102"/>
      <c r="B977" s="16"/>
      <c r="C977" s="16"/>
      <c r="D977" s="16"/>
      <c r="E977" s="16"/>
      <c r="F977" s="16"/>
      <c r="G977" s="17"/>
      <c r="H977" s="16"/>
      <c r="K977" s="14"/>
      <c r="L977" s="14"/>
      <c r="M977" s="14"/>
      <c r="N977" s="14"/>
    </row>
    <row r="978" spans="1:14" hidden="1">
      <c r="A978" s="102"/>
      <c r="B978" s="16"/>
      <c r="C978" s="16"/>
      <c r="D978" s="16"/>
      <c r="E978" s="16"/>
      <c r="F978" s="16"/>
      <c r="G978" s="17"/>
      <c r="H978" s="16"/>
      <c r="K978" s="14"/>
      <c r="L978" s="32"/>
      <c r="M978" s="14"/>
      <c r="N978" s="32"/>
    </row>
    <row r="979" spans="1:14" hidden="1">
      <c r="A979" s="102"/>
      <c r="B979" s="16"/>
      <c r="C979" s="16"/>
      <c r="D979" s="16"/>
      <c r="E979" s="16"/>
      <c r="F979" s="16"/>
      <c r="G979" s="17"/>
      <c r="H979" s="16"/>
      <c r="K979" s="14"/>
      <c r="L979" s="14"/>
      <c r="M979" s="14"/>
      <c r="N979" s="32"/>
    </row>
    <row r="980" spans="1:14" hidden="1"/>
    <row r="981" spans="1:14" hidden="1">
      <c r="A981" s="3" t="s">
        <v>70</v>
      </c>
      <c r="B981" s="4" t="s">
        <v>72</v>
      </c>
      <c r="C981" s="4" t="s">
        <v>16</v>
      </c>
      <c r="D981" s="34" t="s">
        <v>155</v>
      </c>
      <c r="E981" s="9" t="s">
        <v>156</v>
      </c>
      <c r="F981" s="10" t="s">
        <v>157</v>
      </c>
    </row>
    <row r="982" spans="1:14" hidden="1">
      <c r="A982" s="135" t="s">
        <v>63</v>
      </c>
      <c r="B982" s="99" t="s">
        <v>68</v>
      </c>
      <c r="C982" s="99">
        <v>2</v>
      </c>
      <c r="D982" s="99">
        <f>C982</f>
        <v>2</v>
      </c>
      <c r="E982" s="138">
        <f>D982+D984+D986</f>
        <v>2.6666666666666665</v>
      </c>
      <c r="F982" s="141">
        <f>E982/12</f>
        <v>0.22222222222222221</v>
      </c>
    </row>
    <row r="983" spans="1:14" hidden="1">
      <c r="A983" s="136"/>
      <c r="B983" s="144" t="s">
        <v>65</v>
      </c>
      <c r="C983" s="144">
        <v>2</v>
      </c>
      <c r="D983" s="35" t="s">
        <v>158</v>
      </c>
      <c r="E983" s="139"/>
      <c r="F983" s="142"/>
    </row>
    <row r="984" spans="1:14" hidden="1">
      <c r="A984" s="136"/>
      <c r="B984" s="145"/>
      <c r="C984" s="145"/>
      <c r="D984" s="16">
        <f>C983/3</f>
        <v>0.66666666666666663</v>
      </c>
      <c r="E984" s="139"/>
      <c r="F984" s="142"/>
    </row>
    <row r="985" spans="1:14" hidden="1">
      <c r="A985" s="136"/>
      <c r="B985" s="144" t="s">
        <v>69</v>
      </c>
      <c r="C985" s="144">
        <v>11</v>
      </c>
      <c r="D985" s="35" t="s">
        <v>159</v>
      </c>
      <c r="E985" s="139"/>
      <c r="F985" s="142"/>
    </row>
    <row r="986" spans="1:14" hidden="1">
      <c r="A986" s="137"/>
      <c r="B986" s="145"/>
      <c r="C986" s="145"/>
      <c r="D986" s="16">
        <v>0</v>
      </c>
      <c r="E986" s="140"/>
      <c r="F986" s="143"/>
    </row>
    <row r="987" spans="1:14" hidden="1">
      <c r="A987" s="36" t="s">
        <v>70</v>
      </c>
      <c r="B987" s="37" t="s">
        <v>72</v>
      </c>
      <c r="C987" s="37" t="s">
        <v>16</v>
      </c>
      <c r="D987" s="146" t="s">
        <v>160</v>
      </c>
      <c r="E987" s="147"/>
      <c r="F987" s="148"/>
    </row>
    <row r="988" spans="1:14" hidden="1">
      <c r="A988" s="149" t="s">
        <v>62</v>
      </c>
      <c r="B988" s="16" t="s">
        <v>68</v>
      </c>
      <c r="C988" s="16">
        <v>0</v>
      </c>
      <c r="D988" s="151">
        <f>C988/9</f>
        <v>0</v>
      </c>
      <c r="E988" s="152"/>
      <c r="F988" s="153"/>
    </row>
    <row r="989" spans="1:14" ht="16.5" hidden="1" thickBot="1">
      <c r="A989" s="150"/>
      <c r="B989" s="20" t="s">
        <v>69</v>
      </c>
      <c r="C989" s="20">
        <v>0</v>
      </c>
      <c r="D989" s="154"/>
      <c r="E989" s="155"/>
      <c r="F989" s="156"/>
    </row>
    <row r="990" spans="1:14" hidden="1"/>
    <row r="991" spans="1:14" hidden="1">
      <c r="A991" t="s">
        <v>2205</v>
      </c>
    </row>
    <row r="992" spans="1:14" hidden="1">
      <c r="A992" s="37" t="s">
        <v>58</v>
      </c>
      <c r="B992" s="37" t="s">
        <v>67</v>
      </c>
      <c r="C992" s="37" t="s">
        <v>3</v>
      </c>
      <c r="D992" s="37" t="s">
        <v>57</v>
      </c>
      <c r="E992" s="37" t="s">
        <v>59</v>
      </c>
      <c r="F992" s="37" t="s">
        <v>61</v>
      </c>
      <c r="G992" s="37" t="s">
        <v>60</v>
      </c>
      <c r="H992" s="37" t="s">
        <v>66</v>
      </c>
      <c r="K992" s="14"/>
      <c r="L992" s="14"/>
      <c r="M992" s="32"/>
      <c r="N992" s="14"/>
    </row>
    <row r="993" spans="1:14" ht="31.5" hidden="1">
      <c r="A993" s="102">
        <v>46027</v>
      </c>
      <c r="B993" s="16" t="s">
        <v>75</v>
      </c>
      <c r="C993" s="16" t="s">
        <v>1419</v>
      </c>
      <c r="D993" s="16" t="s">
        <v>1668</v>
      </c>
      <c r="E993" s="16" t="s">
        <v>41</v>
      </c>
      <c r="F993" s="16" t="s">
        <v>77</v>
      </c>
      <c r="G993" s="17" t="s">
        <v>2206</v>
      </c>
      <c r="H993" s="16"/>
      <c r="K993" s="14"/>
      <c r="L993" s="14"/>
      <c r="M993" s="14"/>
      <c r="N993" s="14"/>
    </row>
    <row r="994" spans="1:14" ht="31.5" hidden="1">
      <c r="A994" s="102">
        <v>46027</v>
      </c>
      <c r="B994" s="16" t="s">
        <v>197</v>
      </c>
      <c r="C994" s="16" t="s">
        <v>1202</v>
      </c>
      <c r="D994" s="16" t="s">
        <v>1860</v>
      </c>
      <c r="E994" s="16" t="s">
        <v>41</v>
      </c>
      <c r="F994" s="16" t="s">
        <v>77</v>
      </c>
      <c r="G994" s="17" t="s">
        <v>2207</v>
      </c>
      <c r="H994" s="16"/>
      <c r="K994" s="14"/>
      <c r="L994" s="14"/>
      <c r="M994" s="14"/>
      <c r="N994" s="14"/>
    </row>
    <row r="995" spans="1:14" ht="31.5" hidden="1">
      <c r="A995" s="102">
        <v>46027</v>
      </c>
      <c r="B995" s="16" t="s">
        <v>75</v>
      </c>
      <c r="C995" s="16" t="s">
        <v>1247</v>
      </c>
      <c r="D995" s="16" t="s">
        <v>1248</v>
      </c>
      <c r="E995" s="16" t="s">
        <v>41</v>
      </c>
      <c r="F995" s="16" t="s">
        <v>64</v>
      </c>
      <c r="G995" s="17" t="s">
        <v>2208</v>
      </c>
      <c r="H995" s="16"/>
      <c r="K995" s="14"/>
      <c r="L995" s="14"/>
      <c r="M995" s="14"/>
      <c r="N995" s="14"/>
    </row>
    <row r="996" spans="1:14" ht="47.25" hidden="1">
      <c r="A996" s="102">
        <v>46027</v>
      </c>
      <c r="B996" s="16" t="s">
        <v>197</v>
      </c>
      <c r="C996" s="16" t="s">
        <v>459</v>
      </c>
      <c r="D996" s="16" t="s">
        <v>461</v>
      </c>
      <c r="E996" s="16" t="s">
        <v>41</v>
      </c>
      <c r="F996" s="16" t="s">
        <v>77</v>
      </c>
      <c r="G996" s="17" t="s">
        <v>2209</v>
      </c>
      <c r="H996" s="16"/>
      <c r="K996" s="14"/>
      <c r="L996" s="14"/>
      <c r="M996" s="14"/>
      <c r="N996" s="14"/>
    </row>
    <row r="997" spans="1:14" ht="31.5" hidden="1">
      <c r="A997" s="102">
        <v>46027</v>
      </c>
      <c r="B997" s="16" t="s">
        <v>75</v>
      </c>
      <c r="C997" s="16" t="s">
        <v>2210</v>
      </c>
      <c r="D997" s="16" t="s">
        <v>2211</v>
      </c>
      <c r="E997" s="16" t="s">
        <v>41</v>
      </c>
      <c r="F997" s="16" t="s">
        <v>71</v>
      </c>
      <c r="G997" s="17" t="s">
        <v>2212</v>
      </c>
      <c r="H997" s="16"/>
      <c r="K997" s="14"/>
      <c r="L997" s="32"/>
      <c r="M997" s="14"/>
      <c r="N997" s="14"/>
    </row>
    <row r="998" spans="1:14" hidden="1">
      <c r="A998" s="102">
        <v>46027</v>
      </c>
      <c r="B998" s="16" t="s">
        <v>76</v>
      </c>
      <c r="C998" s="16" t="s">
        <v>411</v>
      </c>
      <c r="D998" s="16" t="s">
        <v>2151</v>
      </c>
      <c r="E998" s="16" t="s">
        <v>41</v>
      </c>
      <c r="F998" s="16" t="s">
        <v>77</v>
      </c>
      <c r="G998" s="17" t="s">
        <v>2213</v>
      </c>
      <c r="H998" s="16"/>
      <c r="K998" s="14"/>
      <c r="L998" s="32"/>
      <c r="M998" s="14"/>
      <c r="N998" s="32"/>
    </row>
    <row r="999" spans="1:14" hidden="1">
      <c r="A999" s="102">
        <v>46027</v>
      </c>
      <c r="B999" s="16" t="s">
        <v>197</v>
      </c>
      <c r="C999" s="16" t="s">
        <v>1585</v>
      </c>
      <c r="D999" s="16" t="s">
        <v>2214</v>
      </c>
      <c r="E999" s="16" t="s">
        <v>41</v>
      </c>
      <c r="F999" s="16" t="s">
        <v>77</v>
      </c>
      <c r="G999" s="17" t="s">
        <v>1385</v>
      </c>
      <c r="H999" s="16"/>
      <c r="K999" s="14"/>
      <c r="L999" s="32"/>
      <c r="M999" s="14"/>
      <c r="N999" s="32"/>
    </row>
    <row r="1000" spans="1:14" ht="47.25" hidden="1">
      <c r="A1000" s="102">
        <v>46027</v>
      </c>
      <c r="B1000" s="16" t="s">
        <v>197</v>
      </c>
      <c r="C1000" s="16" t="s">
        <v>1247</v>
      </c>
      <c r="D1000" s="16" t="s">
        <v>1795</v>
      </c>
      <c r="E1000" s="16" t="s">
        <v>41</v>
      </c>
      <c r="F1000" s="16" t="s">
        <v>77</v>
      </c>
      <c r="G1000" s="17" t="s">
        <v>2215</v>
      </c>
      <c r="H1000" s="16"/>
      <c r="K1000" s="14"/>
      <c r="L1000" s="32"/>
      <c r="M1000" s="14"/>
      <c r="N1000" s="32"/>
    </row>
    <row r="1001" spans="1:14" ht="110.25" hidden="1">
      <c r="A1001" s="102">
        <v>46027</v>
      </c>
      <c r="B1001" s="16" t="s">
        <v>75</v>
      </c>
      <c r="C1001" s="16" t="s">
        <v>407</v>
      </c>
      <c r="D1001" s="16" t="s">
        <v>423</v>
      </c>
      <c r="E1001" s="16" t="s">
        <v>41</v>
      </c>
      <c r="F1001" s="16" t="s">
        <v>71</v>
      </c>
      <c r="G1001" s="17" t="s">
        <v>2216</v>
      </c>
      <c r="H1001" s="16"/>
      <c r="K1001" s="14"/>
      <c r="L1001" s="32"/>
      <c r="M1001" s="14"/>
      <c r="N1001" s="32"/>
    </row>
    <row r="1002" spans="1:14" ht="31.5" hidden="1">
      <c r="A1002" s="102">
        <v>46027</v>
      </c>
      <c r="B1002" s="16" t="s">
        <v>75</v>
      </c>
      <c r="C1002" s="16" t="s">
        <v>2210</v>
      </c>
      <c r="D1002" s="16" t="s">
        <v>1996</v>
      </c>
      <c r="E1002" s="16" t="s">
        <v>41</v>
      </c>
      <c r="F1002" s="16" t="s">
        <v>71</v>
      </c>
      <c r="G1002" s="17" t="s">
        <v>2217</v>
      </c>
      <c r="H1002" s="16"/>
      <c r="K1002" s="14"/>
      <c r="L1002" s="32"/>
      <c r="M1002" s="14"/>
      <c r="N1002" s="32"/>
    </row>
    <row r="1003" spans="1:14" ht="31.5" hidden="1">
      <c r="A1003" s="102">
        <v>46028</v>
      </c>
      <c r="B1003" s="16" t="s">
        <v>76</v>
      </c>
      <c r="C1003" s="16" t="s">
        <v>2218</v>
      </c>
      <c r="D1003" s="16" t="s">
        <v>2218</v>
      </c>
      <c r="E1003" s="16" t="s">
        <v>40</v>
      </c>
      <c r="F1003" s="16" t="s">
        <v>77</v>
      </c>
      <c r="G1003" s="17" t="s">
        <v>2219</v>
      </c>
      <c r="H1003" s="16"/>
      <c r="K1003" s="14"/>
      <c r="L1003" s="32"/>
      <c r="M1003" s="14"/>
      <c r="N1003" s="32"/>
    </row>
    <row r="1004" spans="1:14" ht="47.25" hidden="1">
      <c r="A1004" s="102">
        <v>46028</v>
      </c>
      <c r="B1004" s="16" t="s">
        <v>76</v>
      </c>
      <c r="C1004" s="16" t="s">
        <v>2220</v>
      </c>
      <c r="D1004" s="16" t="s">
        <v>2220</v>
      </c>
      <c r="E1004" s="16" t="s">
        <v>40</v>
      </c>
      <c r="F1004" s="16" t="s">
        <v>77</v>
      </c>
      <c r="G1004" s="17" t="s">
        <v>2221</v>
      </c>
      <c r="H1004" s="16"/>
      <c r="K1004" s="14"/>
      <c r="L1004" s="32"/>
      <c r="M1004" s="14"/>
      <c r="N1004" s="32"/>
    </row>
    <row r="1005" spans="1:14" ht="47.25" hidden="1">
      <c r="A1005" s="102">
        <v>46028</v>
      </c>
      <c r="B1005" s="16" t="s">
        <v>197</v>
      </c>
      <c r="C1005" s="16" t="s">
        <v>1203</v>
      </c>
      <c r="D1005" s="16" t="s">
        <v>1203</v>
      </c>
      <c r="E1005" s="16" t="s">
        <v>40</v>
      </c>
      <c r="F1005" s="16" t="s">
        <v>77</v>
      </c>
      <c r="G1005" s="17" t="s">
        <v>2222</v>
      </c>
      <c r="H1005" s="16"/>
      <c r="K1005" s="14"/>
      <c r="L1005" s="32"/>
      <c r="M1005" s="14"/>
      <c r="N1005" s="14"/>
    </row>
    <row r="1006" spans="1:14" ht="31.5" hidden="1">
      <c r="A1006" s="102">
        <v>46028</v>
      </c>
      <c r="B1006" s="16" t="s">
        <v>76</v>
      </c>
      <c r="C1006" s="16" t="s">
        <v>1204</v>
      </c>
      <c r="D1006" s="16" t="s">
        <v>1204</v>
      </c>
      <c r="E1006" s="16" t="s">
        <v>40</v>
      </c>
      <c r="F1006" s="16" t="s">
        <v>77</v>
      </c>
      <c r="G1006" s="17" t="s">
        <v>2223</v>
      </c>
      <c r="H1006" s="16"/>
      <c r="K1006" s="14"/>
      <c r="L1006" s="32"/>
      <c r="M1006" s="14"/>
      <c r="N1006" s="14"/>
    </row>
    <row r="1007" spans="1:14" ht="31.5" hidden="1">
      <c r="A1007" s="102">
        <v>46028</v>
      </c>
      <c r="B1007" s="16" t="s">
        <v>76</v>
      </c>
      <c r="C1007" s="16" t="s">
        <v>1210</v>
      </c>
      <c r="D1007" s="16" t="s">
        <v>1210</v>
      </c>
      <c r="E1007" s="16" t="s">
        <v>40</v>
      </c>
      <c r="F1007" s="16" t="s">
        <v>77</v>
      </c>
      <c r="G1007" s="17" t="s">
        <v>2224</v>
      </c>
      <c r="H1007" s="16"/>
      <c r="K1007" s="14"/>
      <c r="L1007" s="32"/>
      <c r="M1007" s="14"/>
      <c r="N1007" s="14"/>
    </row>
    <row r="1008" spans="1:14" hidden="1">
      <c r="A1008" s="102">
        <v>46028</v>
      </c>
      <c r="B1008" s="16" t="s">
        <v>75</v>
      </c>
      <c r="C1008" s="16" t="s">
        <v>780</v>
      </c>
      <c r="D1008" s="16" t="s">
        <v>1835</v>
      </c>
      <c r="E1008" s="16" t="s">
        <v>41</v>
      </c>
      <c r="F1008" s="16" t="s">
        <v>64</v>
      </c>
      <c r="G1008" s="17" t="s">
        <v>2225</v>
      </c>
      <c r="H1008" s="16"/>
      <c r="K1008" s="14"/>
      <c r="L1008" s="32"/>
      <c r="M1008" s="14"/>
      <c r="N1008" s="14"/>
    </row>
    <row r="1009" spans="1:14" ht="31.5" hidden="1">
      <c r="A1009" s="102">
        <v>46028</v>
      </c>
      <c r="B1009" s="16" t="s">
        <v>91</v>
      </c>
      <c r="C1009" s="16" t="s">
        <v>1955</v>
      </c>
      <c r="D1009" s="16" t="s">
        <v>2226</v>
      </c>
      <c r="E1009" s="16" t="s">
        <v>41</v>
      </c>
      <c r="F1009" s="16" t="s">
        <v>77</v>
      </c>
      <c r="G1009" s="17" t="s">
        <v>2227</v>
      </c>
      <c r="H1009" s="16"/>
      <c r="K1009" s="14"/>
      <c r="L1009" s="32"/>
      <c r="M1009" s="14"/>
      <c r="N1009" s="14"/>
    </row>
    <row r="1010" spans="1:14" hidden="1">
      <c r="A1010" s="102">
        <v>46028</v>
      </c>
      <c r="B1010" s="16" t="s">
        <v>76</v>
      </c>
      <c r="C1010" s="16" t="s">
        <v>1585</v>
      </c>
      <c r="D1010" s="16" t="s">
        <v>2214</v>
      </c>
      <c r="E1010" s="16" t="s">
        <v>41</v>
      </c>
      <c r="F1010" s="16" t="s">
        <v>77</v>
      </c>
      <c r="G1010" s="17" t="s">
        <v>1385</v>
      </c>
      <c r="H1010" s="16"/>
      <c r="K1010" s="14"/>
      <c r="L1010" s="32"/>
      <c r="M1010" s="14"/>
      <c r="N1010" s="14"/>
    </row>
    <row r="1011" spans="1:14" ht="31.5" hidden="1">
      <c r="A1011" s="102">
        <v>46028</v>
      </c>
      <c r="B1011" s="16" t="s">
        <v>76</v>
      </c>
      <c r="C1011" s="16" t="s">
        <v>1585</v>
      </c>
      <c r="D1011" s="16" t="s">
        <v>1586</v>
      </c>
      <c r="E1011" s="16" t="s">
        <v>41</v>
      </c>
      <c r="F1011" s="16" t="s">
        <v>71</v>
      </c>
      <c r="G1011" s="17" t="s">
        <v>2228</v>
      </c>
      <c r="H1011" s="16"/>
      <c r="K1011" s="14"/>
      <c r="L1011" s="32"/>
      <c r="M1011" s="14"/>
      <c r="N1011" s="14"/>
    </row>
    <row r="1012" spans="1:14" ht="78.75" hidden="1">
      <c r="A1012" s="102">
        <v>46028</v>
      </c>
      <c r="B1012" s="16" t="s">
        <v>75</v>
      </c>
      <c r="C1012" s="16" t="s">
        <v>1452</v>
      </c>
      <c r="D1012" s="16" t="s">
        <v>1707</v>
      </c>
      <c r="E1012" s="16" t="s">
        <v>41</v>
      </c>
      <c r="F1012" s="16" t="s">
        <v>71</v>
      </c>
      <c r="G1012" s="17" t="s">
        <v>2229</v>
      </c>
      <c r="H1012" s="16"/>
      <c r="K1012" s="14"/>
      <c r="L1012" s="32"/>
      <c r="M1012" s="14"/>
      <c r="N1012" s="14"/>
    </row>
    <row r="1013" spans="1:14" hidden="1">
      <c r="A1013" s="102">
        <v>46028</v>
      </c>
      <c r="B1013" s="16" t="s">
        <v>197</v>
      </c>
      <c r="C1013" s="16" t="s">
        <v>408</v>
      </c>
      <c r="D1013" s="16" t="s">
        <v>2230</v>
      </c>
      <c r="E1013" s="16" t="s">
        <v>41</v>
      </c>
      <c r="F1013" s="16" t="s">
        <v>77</v>
      </c>
      <c r="G1013" s="17" t="s">
        <v>2231</v>
      </c>
      <c r="H1013" s="16"/>
      <c r="K1013" s="14"/>
      <c r="L1013" s="32"/>
      <c r="M1013" s="14"/>
      <c r="N1013" s="14"/>
    </row>
    <row r="1014" spans="1:14" ht="31.5" hidden="1">
      <c r="A1014" s="102">
        <v>46028</v>
      </c>
      <c r="B1014" s="16" t="s">
        <v>197</v>
      </c>
      <c r="C1014" s="16" t="s">
        <v>408</v>
      </c>
      <c r="D1014" s="16" t="s">
        <v>2232</v>
      </c>
      <c r="E1014" s="16" t="s">
        <v>41</v>
      </c>
      <c r="F1014" s="16" t="s">
        <v>64</v>
      </c>
      <c r="G1014" s="17" t="s">
        <v>2233</v>
      </c>
      <c r="H1014" s="16"/>
      <c r="K1014" s="14"/>
      <c r="L1014" s="32"/>
      <c r="M1014" s="14"/>
      <c r="N1014" s="14"/>
    </row>
    <row r="1015" spans="1:14" hidden="1">
      <c r="A1015" s="102">
        <v>46028</v>
      </c>
      <c r="B1015" s="16" t="s">
        <v>76</v>
      </c>
      <c r="C1015" s="16" t="s">
        <v>1670</v>
      </c>
      <c r="D1015" s="16" t="s">
        <v>2234</v>
      </c>
      <c r="E1015" s="16" t="s">
        <v>41</v>
      </c>
      <c r="F1015" s="16" t="s">
        <v>64</v>
      </c>
      <c r="G1015" s="17" t="s">
        <v>2235</v>
      </c>
      <c r="H1015" s="16"/>
      <c r="K1015" s="14"/>
      <c r="L1015" s="32"/>
      <c r="M1015" s="14"/>
      <c r="N1015" s="14"/>
    </row>
    <row r="1016" spans="1:14" ht="315" hidden="1">
      <c r="A1016" s="102">
        <v>46029</v>
      </c>
      <c r="B1016" s="16" t="s">
        <v>91</v>
      </c>
      <c r="C1016" s="16" t="s">
        <v>1247</v>
      </c>
      <c r="D1016" s="16" t="s">
        <v>1248</v>
      </c>
      <c r="E1016" s="16" t="s">
        <v>40</v>
      </c>
      <c r="F1016" s="16" t="s">
        <v>71</v>
      </c>
      <c r="G1016" s="17" t="s">
        <v>2236</v>
      </c>
      <c r="H1016" s="16"/>
      <c r="K1016" s="14"/>
      <c r="L1016" s="32"/>
      <c r="M1016" s="14"/>
      <c r="N1016" s="14"/>
    </row>
    <row r="1017" spans="1:14" ht="31.5" hidden="1">
      <c r="A1017" s="102">
        <v>46029</v>
      </c>
      <c r="B1017" s="16" t="s">
        <v>76</v>
      </c>
      <c r="C1017" s="16" t="s">
        <v>1216</v>
      </c>
      <c r="D1017" s="16" t="s">
        <v>2237</v>
      </c>
      <c r="E1017" s="16" t="s">
        <v>40</v>
      </c>
      <c r="F1017" s="16" t="s">
        <v>77</v>
      </c>
      <c r="G1017" s="17" t="s">
        <v>2238</v>
      </c>
      <c r="H1017" s="16"/>
      <c r="K1017" s="14"/>
      <c r="L1017" s="32"/>
      <c r="M1017" s="14"/>
      <c r="N1017" s="14"/>
    </row>
    <row r="1018" spans="1:14" ht="31.5" hidden="1">
      <c r="A1018" s="102">
        <v>46029</v>
      </c>
      <c r="B1018" s="16" t="s">
        <v>76</v>
      </c>
      <c r="C1018" s="16" t="s">
        <v>1338</v>
      </c>
      <c r="D1018" s="16" t="s">
        <v>2239</v>
      </c>
      <c r="E1018" s="16" t="s">
        <v>41</v>
      </c>
      <c r="F1018" s="16" t="s">
        <v>64</v>
      </c>
      <c r="G1018" s="17" t="s">
        <v>2240</v>
      </c>
      <c r="H1018" s="16"/>
      <c r="K1018" s="14"/>
      <c r="L1018" s="32"/>
      <c r="M1018" s="14"/>
      <c r="N1018" s="14"/>
    </row>
    <row r="1019" spans="1:14" hidden="1">
      <c r="A1019" s="102">
        <v>46030</v>
      </c>
      <c r="B1019" s="16" t="s">
        <v>75</v>
      </c>
      <c r="C1019" s="16" t="s">
        <v>25</v>
      </c>
      <c r="D1019" s="16" t="s">
        <v>164</v>
      </c>
      <c r="E1019" s="16" t="s">
        <v>41</v>
      </c>
      <c r="F1019" s="16" t="s">
        <v>77</v>
      </c>
      <c r="G1019" s="17" t="s">
        <v>2241</v>
      </c>
      <c r="H1019" s="16"/>
      <c r="K1019" s="14"/>
      <c r="L1019" s="32"/>
      <c r="M1019" s="14"/>
      <c r="N1019" s="14"/>
    </row>
    <row r="1020" spans="1:14" hidden="1">
      <c r="A1020" s="102">
        <v>46030</v>
      </c>
      <c r="B1020" s="16" t="s">
        <v>75</v>
      </c>
      <c r="C1020" s="16" t="s">
        <v>349</v>
      </c>
      <c r="D1020" s="16" t="s">
        <v>350</v>
      </c>
      <c r="E1020" s="16" t="s">
        <v>41</v>
      </c>
      <c r="F1020" s="16" t="s">
        <v>77</v>
      </c>
      <c r="G1020" s="17" t="s">
        <v>2242</v>
      </c>
      <c r="H1020" s="16"/>
      <c r="K1020" s="14"/>
      <c r="L1020" s="32"/>
      <c r="M1020" s="14"/>
      <c r="N1020" s="14"/>
    </row>
    <row r="1021" spans="1:14" ht="126" hidden="1">
      <c r="A1021" s="102">
        <v>46030</v>
      </c>
      <c r="B1021" s="16" t="s">
        <v>91</v>
      </c>
      <c r="C1021" s="16" t="s">
        <v>2243</v>
      </c>
      <c r="D1021" s="16" t="s">
        <v>2244</v>
      </c>
      <c r="E1021" s="16" t="s">
        <v>41</v>
      </c>
      <c r="F1021" s="16" t="s">
        <v>71</v>
      </c>
      <c r="G1021" s="17" t="s">
        <v>2245</v>
      </c>
      <c r="H1021" s="16"/>
      <c r="K1021" s="14"/>
      <c r="L1021" s="32"/>
      <c r="M1021" s="14"/>
      <c r="N1021" s="14"/>
    </row>
    <row r="1022" spans="1:14" hidden="1">
      <c r="A1022" s="102">
        <v>46030</v>
      </c>
      <c r="B1022" s="16" t="s">
        <v>91</v>
      </c>
      <c r="C1022" s="16" t="s">
        <v>2246</v>
      </c>
      <c r="D1022" s="16" t="s">
        <v>2247</v>
      </c>
      <c r="E1022" s="16" t="s">
        <v>41</v>
      </c>
      <c r="F1022" s="16" t="s">
        <v>77</v>
      </c>
      <c r="G1022" s="17" t="s">
        <v>1545</v>
      </c>
      <c r="H1022" s="16"/>
      <c r="K1022" s="14"/>
      <c r="L1022" s="32"/>
      <c r="M1022" s="14"/>
      <c r="N1022" s="14"/>
    </row>
    <row r="1023" spans="1:14" hidden="1">
      <c r="A1023" s="102">
        <v>46030</v>
      </c>
      <c r="B1023" s="16" t="s">
        <v>91</v>
      </c>
      <c r="C1023" s="16" t="s">
        <v>2246</v>
      </c>
      <c r="D1023" s="16" t="s">
        <v>2196</v>
      </c>
      <c r="E1023" s="16" t="s">
        <v>41</v>
      </c>
      <c r="F1023" s="16" t="s">
        <v>77</v>
      </c>
      <c r="G1023" s="17" t="s">
        <v>1545</v>
      </c>
      <c r="H1023" s="16"/>
      <c r="K1023" s="14"/>
      <c r="L1023" s="32"/>
      <c r="M1023" s="14"/>
      <c r="N1023" s="14"/>
    </row>
    <row r="1024" spans="1:14" hidden="1">
      <c r="A1024" s="102">
        <v>46030</v>
      </c>
      <c r="B1024" s="16" t="s">
        <v>91</v>
      </c>
      <c r="C1024" s="16" t="s">
        <v>2246</v>
      </c>
      <c r="D1024" s="16" t="s">
        <v>2248</v>
      </c>
      <c r="E1024" s="16" t="s">
        <v>41</v>
      </c>
      <c r="F1024" s="16" t="s">
        <v>77</v>
      </c>
      <c r="G1024" s="17" t="s">
        <v>1545</v>
      </c>
      <c r="H1024" s="16"/>
      <c r="K1024" s="14"/>
      <c r="L1024" s="32"/>
      <c r="M1024" s="14"/>
      <c r="N1024" s="14"/>
    </row>
    <row r="1025" spans="1:14" hidden="1">
      <c r="A1025" s="102">
        <v>46030</v>
      </c>
      <c r="B1025" s="16" t="s">
        <v>91</v>
      </c>
      <c r="C1025" s="16" t="s">
        <v>2184</v>
      </c>
      <c r="D1025" s="16" t="s">
        <v>2249</v>
      </c>
      <c r="E1025" s="16" t="s">
        <v>41</v>
      </c>
      <c r="F1025" s="16" t="s">
        <v>77</v>
      </c>
      <c r="G1025" s="17" t="s">
        <v>1385</v>
      </c>
      <c r="H1025" s="16"/>
      <c r="K1025" s="14"/>
      <c r="L1025" s="32"/>
      <c r="M1025" s="14"/>
      <c r="N1025" s="14"/>
    </row>
    <row r="1026" spans="1:14" hidden="1">
      <c r="A1026" s="102">
        <v>46030</v>
      </c>
      <c r="B1026" s="16" t="s">
        <v>91</v>
      </c>
      <c r="C1026" s="16" t="s">
        <v>2184</v>
      </c>
      <c r="D1026" s="16" t="s">
        <v>2250</v>
      </c>
      <c r="E1026" s="16" t="s">
        <v>41</v>
      </c>
      <c r="F1026" s="16" t="s">
        <v>77</v>
      </c>
      <c r="G1026" s="17" t="s">
        <v>1385</v>
      </c>
      <c r="H1026" s="16"/>
      <c r="K1026" s="14"/>
      <c r="L1026" s="32"/>
      <c r="M1026" s="14"/>
      <c r="N1026" s="14"/>
    </row>
    <row r="1027" spans="1:14" hidden="1">
      <c r="A1027" s="102">
        <v>46030</v>
      </c>
      <c r="B1027" s="16" t="s">
        <v>91</v>
      </c>
      <c r="C1027" s="16" t="s">
        <v>1960</v>
      </c>
      <c r="D1027" s="16" t="s">
        <v>2052</v>
      </c>
      <c r="E1027" s="16" t="s">
        <v>41</v>
      </c>
      <c r="F1027" s="16" t="s">
        <v>77</v>
      </c>
      <c r="G1027" s="17" t="s">
        <v>2251</v>
      </c>
      <c r="H1027" s="16"/>
      <c r="K1027" s="14"/>
      <c r="L1027" s="32"/>
      <c r="M1027" s="14"/>
      <c r="N1027" s="14"/>
    </row>
    <row r="1028" spans="1:14" hidden="1">
      <c r="A1028" s="102">
        <v>46031</v>
      </c>
      <c r="B1028" s="16" t="s">
        <v>197</v>
      </c>
      <c r="C1028" s="16" t="s">
        <v>1233</v>
      </c>
      <c r="D1028" s="16" t="s">
        <v>2252</v>
      </c>
      <c r="E1028" s="16" t="s">
        <v>41</v>
      </c>
      <c r="F1028" s="16" t="s">
        <v>77</v>
      </c>
      <c r="G1028" s="17" t="s">
        <v>2253</v>
      </c>
      <c r="H1028" s="16"/>
      <c r="K1028" s="14"/>
      <c r="L1028" s="32"/>
      <c r="M1028" s="14"/>
      <c r="N1028" s="14"/>
    </row>
    <row r="1029" spans="1:14" hidden="1">
      <c r="A1029" s="102">
        <v>46031</v>
      </c>
      <c r="B1029" s="16" t="s">
        <v>75</v>
      </c>
      <c r="C1029" s="16" t="s">
        <v>1960</v>
      </c>
      <c r="D1029" s="16" t="s">
        <v>2052</v>
      </c>
      <c r="E1029" s="16" t="s">
        <v>41</v>
      </c>
      <c r="F1029" s="16" t="s">
        <v>77</v>
      </c>
      <c r="G1029" s="17" t="s">
        <v>1385</v>
      </c>
      <c r="H1029" s="16"/>
      <c r="K1029" s="14"/>
      <c r="L1029" s="32"/>
      <c r="M1029" s="14"/>
      <c r="N1029" s="14"/>
    </row>
    <row r="1030" spans="1:14" ht="94.5" hidden="1">
      <c r="A1030" s="102">
        <v>46031</v>
      </c>
      <c r="B1030" s="16" t="s">
        <v>76</v>
      </c>
      <c r="C1030" s="16" t="s">
        <v>1338</v>
      </c>
      <c r="D1030" s="16" t="s">
        <v>1550</v>
      </c>
      <c r="E1030" s="16" t="s">
        <v>40</v>
      </c>
      <c r="F1030" s="16" t="s">
        <v>71</v>
      </c>
      <c r="G1030" s="17" t="s">
        <v>2254</v>
      </c>
      <c r="H1030" s="16"/>
      <c r="K1030" s="14"/>
      <c r="L1030" s="32"/>
      <c r="M1030" s="14"/>
      <c r="N1030" s="14"/>
    </row>
    <row r="1031" spans="1:14" ht="31.5" hidden="1">
      <c r="A1031" s="102">
        <v>46036</v>
      </c>
      <c r="B1031" s="16" t="s">
        <v>197</v>
      </c>
      <c r="C1031" s="16" t="s">
        <v>1268</v>
      </c>
      <c r="D1031" s="16" t="s">
        <v>1799</v>
      </c>
      <c r="E1031" s="16" t="s">
        <v>41</v>
      </c>
      <c r="F1031" s="16" t="s">
        <v>71</v>
      </c>
      <c r="G1031" s="17" t="s">
        <v>2255</v>
      </c>
      <c r="H1031" s="16"/>
      <c r="K1031" s="14"/>
      <c r="L1031" s="32"/>
      <c r="M1031" s="14"/>
      <c r="N1031" s="14"/>
    </row>
    <row r="1032" spans="1:14" ht="31.5" hidden="1">
      <c r="A1032" s="102">
        <v>46036</v>
      </c>
      <c r="B1032" s="16" t="s">
        <v>197</v>
      </c>
      <c r="C1032" s="16" t="s">
        <v>1202</v>
      </c>
      <c r="D1032" s="16" t="s">
        <v>1860</v>
      </c>
      <c r="E1032" s="16" t="s">
        <v>41</v>
      </c>
      <c r="F1032" s="16" t="s">
        <v>77</v>
      </c>
      <c r="G1032" s="17" t="s">
        <v>2256</v>
      </c>
      <c r="H1032" s="16"/>
      <c r="K1032" s="14"/>
      <c r="L1032" s="32"/>
      <c r="M1032" s="14"/>
      <c r="N1032" s="14"/>
    </row>
    <row r="1033" spans="1:14" ht="47.25" hidden="1">
      <c r="A1033" s="102">
        <v>46036</v>
      </c>
      <c r="B1033" s="16" t="s">
        <v>197</v>
      </c>
      <c r="C1033" s="16" t="s">
        <v>533</v>
      </c>
      <c r="D1033" s="16" t="s">
        <v>1626</v>
      </c>
      <c r="E1033" s="16" t="s">
        <v>41</v>
      </c>
      <c r="F1033" s="16" t="s">
        <v>64</v>
      </c>
      <c r="G1033" s="17" t="s">
        <v>2257</v>
      </c>
      <c r="H1033" s="16"/>
      <c r="K1033" s="14"/>
      <c r="L1033" s="32"/>
      <c r="M1033" s="14"/>
      <c r="N1033" s="14"/>
    </row>
    <row r="1034" spans="1:14" ht="31.5" hidden="1">
      <c r="A1034" s="102">
        <v>46036</v>
      </c>
      <c r="B1034" s="16" t="s">
        <v>197</v>
      </c>
      <c r="C1034" s="16" t="s">
        <v>1314</v>
      </c>
      <c r="D1034" s="16" t="s">
        <v>1315</v>
      </c>
      <c r="E1034" s="16" t="s">
        <v>41</v>
      </c>
      <c r="F1034" s="16" t="s">
        <v>71</v>
      </c>
      <c r="G1034" s="17" t="s">
        <v>2258</v>
      </c>
      <c r="H1034" s="16"/>
      <c r="K1034" s="14"/>
      <c r="L1034" s="32"/>
      <c r="M1034" s="14"/>
      <c r="N1034" s="14"/>
    </row>
    <row r="1035" spans="1:14" hidden="1">
      <c r="A1035" s="102"/>
      <c r="B1035" s="16"/>
      <c r="C1035" s="16"/>
      <c r="D1035" s="16"/>
      <c r="E1035" s="16"/>
      <c r="F1035" s="16"/>
      <c r="G1035" s="17"/>
      <c r="H1035" s="16"/>
      <c r="K1035" s="14"/>
      <c r="L1035" s="32"/>
      <c r="M1035" s="14"/>
      <c r="N1035" s="14"/>
    </row>
    <row r="1036" spans="1:14" hidden="1">
      <c r="A1036" s="102"/>
      <c r="B1036" s="16"/>
      <c r="C1036" s="16"/>
      <c r="D1036" s="16"/>
      <c r="E1036" s="16"/>
      <c r="F1036" s="16"/>
      <c r="G1036" s="17"/>
      <c r="H1036" s="16"/>
      <c r="K1036" s="14"/>
      <c r="L1036" s="32"/>
      <c r="M1036" s="14"/>
      <c r="N1036" s="14"/>
    </row>
    <row r="1037" spans="1:14" hidden="1">
      <c r="A1037" s="102"/>
      <c r="B1037" s="16"/>
      <c r="C1037" s="16"/>
      <c r="D1037" s="16"/>
      <c r="E1037" s="16"/>
      <c r="F1037" s="16"/>
      <c r="G1037" s="17"/>
      <c r="H1037" s="16"/>
      <c r="K1037" s="14"/>
      <c r="L1037" s="14"/>
      <c r="M1037" s="14"/>
      <c r="N1037" s="14"/>
    </row>
    <row r="1038" spans="1:14" hidden="1">
      <c r="A1038" s="102"/>
      <c r="B1038" s="16"/>
      <c r="C1038" s="16"/>
      <c r="D1038" s="16"/>
      <c r="E1038" s="16"/>
      <c r="F1038" s="16"/>
      <c r="G1038" s="17"/>
      <c r="H1038" s="16"/>
      <c r="K1038" s="14"/>
      <c r="L1038" s="14"/>
      <c r="M1038" s="14"/>
      <c r="N1038" s="14"/>
    </row>
    <row r="1039" spans="1:14" hidden="1">
      <c r="A1039" s="102"/>
      <c r="B1039" s="16"/>
      <c r="C1039" s="16"/>
      <c r="D1039" s="16"/>
      <c r="E1039" s="16"/>
      <c r="F1039" s="16"/>
      <c r="G1039" s="17"/>
      <c r="H1039" s="16"/>
      <c r="K1039" s="14"/>
      <c r="L1039" s="32"/>
      <c r="M1039" s="14"/>
      <c r="N1039" s="32"/>
    </row>
    <row r="1040" spans="1:14" hidden="1">
      <c r="A1040" s="102"/>
      <c r="B1040" s="16"/>
      <c r="C1040" s="16"/>
      <c r="D1040" s="16"/>
      <c r="E1040" s="16"/>
      <c r="F1040" s="16"/>
      <c r="G1040" s="17"/>
      <c r="H1040" s="16"/>
      <c r="K1040" s="14"/>
      <c r="L1040" s="14"/>
      <c r="M1040" s="14"/>
      <c r="N1040" s="32"/>
    </row>
    <row r="1041" spans="1:14" hidden="1"/>
    <row r="1042" spans="1:14" hidden="1">
      <c r="A1042" s="3" t="s">
        <v>70</v>
      </c>
      <c r="B1042" s="4" t="s">
        <v>72</v>
      </c>
      <c r="C1042" s="4" t="s">
        <v>16</v>
      </c>
      <c r="D1042" s="34" t="s">
        <v>155</v>
      </c>
      <c r="E1042" s="9" t="s">
        <v>156</v>
      </c>
      <c r="F1042" s="10" t="s">
        <v>157</v>
      </c>
    </row>
    <row r="1043" spans="1:14" hidden="1">
      <c r="A1043" s="135" t="s">
        <v>63</v>
      </c>
      <c r="B1043" s="99" t="s">
        <v>68</v>
      </c>
      <c r="C1043" s="99">
        <v>8</v>
      </c>
      <c r="D1043" s="99">
        <f>C1043</f>
        <v>8</v>
      </c>
      <c r="E1043" s="138">
        <f>D1043+D1045+D1047</f>
        <v>9.6666666666666661</v>
      </c>
      <c r="F1043" s="141">
        <f>E1043/12</f>
        <v>0.80555555555555547</v>
      </c>
    </row>
    <row r="1044" spans="1:14" hidden="1">
      <c r="A1044" s="136"/>
      <c r="B1044" s="144" t="s">
        <v>65</v>
      </c>
      <c r="C1044" s="144">
        <v>5</v>
      </c>
      <c r="D1044" s="35" t="s">
        <v>158</v>
      </c>
      <c r="E1044" s="139"/>
      <c r="F1044" s="142"/>
    </row>
    <row r="1045" spans="1:14" hidden="1">
      <c r="A1045" s="136"/>
      <c r="B1045" s="145"/>
      <c r="C1045" s="145"/>
      <c r="D1045" s="16">
        <f>C1044/3</f>
        <v>1.6666666666666667</v>
      </c>
      <c r="E1045" s="139"/>
      <c r="F1045" s="142"/>
    </row>
    <row r="1046" spans="1:14" hidden="1">
      <c r="A1046" s="136"/>
      <c r="B1046" s="144" t="s">
        <v>69</v>
      </c>
      <c r="C1046" s="144">
        <v>20</v>
      </c>
      <c r="D1046" s="35" t="s">
        <v>159</v>
      </c>
      <c r="E1046" s="139"/>
      <c r="F1046" s="142"/>
    </row>
    <row r="1047" spans="1:14" hidden="1">
      <c r="A1047" s="137"/>
      <c r="B1047" s="145"/>
      <c r="C1047" s="145"/>
      <c r="D1047" s="16">
        <v>0</v>
      </c>
      <c r="E1047" s="140"/>
      <c r="F1047" s="143"/>
    </row>
    <row r="1048" spans="1:14" hidden="1">
      <c r="A1048" s="36" t="s">
        <v>70</v>
      </c>
      <c r="B1048" s="37" t="s">
        <v>72</v>
      </c>
      <c r="C1048" s="37" t="s">
        <v>16</v>
      </c>
      <c r="D1048" s="146" t="s">
        <v>160</v>
      </c>
      <c r="E1048" s="147"/>
      <c r="F1048" s="148"/>
    </row>
    <row r="1049" spans="1:14" hidden="1">
      <c r="A1049" s="149" t="s">
        <v>62</v>
      </c>
      <c r="B1049" s="16" t="s">
        <v>68</v>
      </c>
      <c r="C1049" s="16">
        <v>2</v>
      </c>
      <c r="D1049" s="151">
        <f>C1049/9</f>
        <v>0.22222222222222221</v>
      </c>
      <c r="E1049" s="152"/>
      <c r="F1049" s="153"/>
    </row>
    <row r="1050" spans="1:14" ht="16.5" hidden="1" thickBot="1">
      <c r="A1050" s="150"/>
      <c r="B1050" s="20" t="s">
        <v>69</v>
      </c>
      <c r="C1050" s="20">
        <v>6</v>
      </c>
      <c r="D1050" s="154"/>
      <c r="E1050" s="155"/>
      <c r="F1050" s="156"/>
    </row>
    <row r="1051" spans="1:14" hidden="1"/>
    <row r="1052" spans="1:14" hidden="1">
      <c r="A1052" t="s">
        <v>2259</v>
      </c>
    </row>
    <row r="1053" spans="1:14" hidden="1">
      <c r="A1053" s="37" t="s">
        <v>58</v>
      </c>
      <c r="B1053" s="37" t="s">
        <v>67</v>
      </c>
      <c r="C1053" s="37" t="s">
        <v>3</v>
      </c>
      <c r="D1053" s="37" t="s">
        <v>57</v>
      </c>
      <c r="E1053" s="37" t="s">
        <v>59</v>
      </c>
      <c r="F1053" s="37" t="s">
        <v>61</v>
      </c>
      <c r="G1053" s="37" t="s">
        <v>60</v>
      </c>
      <c r="H1053" s="37" t="s">
        <v>66</v>
      </c>
      <c r="K1053" s="14"/>
      <c r="L1053" s="14"/>
      <c r="M1053" s="32"/>
      <c r="N1053" s="14"/>
    </row>
    <row r="1054" spans="1:14" hidden="1">
      <c r="A1054" s="105">
        <v>46041</v>
      </c>
      <c r="B1054" s="106" t="s">
        <v>75</v>
      </c>
      <c r="C1054" s="107" t="s">
        <v>1452</v>
      </c>
      <c r="D1054" s="107" t="s">
        <v>2022</v>
      </c>
      <c r="E1054" s="106" t="s">
        <v>41</v>
      </c>
      <c r="F1054" s="106" t="s">
        <v>64</v>
      </c>
      <c r="G1054" s="93" t="s">
        <v>2260</v>
      </c>
      <c r="H1054" s="16"/>
      <c r="K1054" s="14"/>
      <c r="L1054" s="14"/>
      <c r="M1054" s="14"/>
      <c r="N1054" s="14"/>
    </row>
    <row r="1055" spans="1:14" ht="31.5" hidden="1">
      <c r="A1055" s="105">
        <v>46041</v>
      </c>
      <c r="B1055" s="106" t="s">
        <v>75</v>
      </c>
      <c r="C1055" s="107" t="s">
        <v>1213</v>
      </c>
      <c r="D1055" s="107" t="s">
        <v>2261</v>
      </c>
      <c r="E1055" s="106" t="s">
        <v>41</v>
      </c>
      <c r="F1055" s="106" t="s">
        <v>64</v>
      </c>
      <c r="G1055" s="93" t="s">
        <v>2262</v>
      </c>
      <c r="H1055" s="16"/>
      <c r="K1055" s="14"/>
      <c r="L1055" s="14"/>
      <c r="M1055" s="14"/>
      <c r="N1055" s="14"/>
    </row>
    <row r="1056" spans="1:14" ht="31.5" hidden="1">
      <c r="A1056" s="105">
        <v>46041</v>
      </c>
      <c r="B1056" s="106" t="s">
        <v>197</v>
      </c>
      <c r="C1056" s="107" t="s">
        <v>1202</v>
      </c>
      <c r="D1056" s="107" t="s">
        <v>1552</v>
      </c>
      <c r="E1056" s="106" t="s">
        <v>41</v>
      </c>
      <c r="F1056" s="106" t="s">
        <v>64</v>
      </c>
      <c r="G1056" s="93" t="s">
        <v>2263</v>
      </c>
      <c r="H1056" s="16"/>
      <c r="K1056" s="14"/>
      <c r="L1056" s="14"/>
      <c r="M1056" s="14"/>
      <c r="N1056" s="14"/>
    </row>
    <row r="1057" spans="1:14" ht="31.5" hidden="1">
      <c r="A1057" s="105">
        <v>46041</v>
      </c>
      <c r="B1057" s="106" t="s">
        <v>197</v>
      </c>
      <c r="C1057" s="107" t="s">
        <v>1233</v>
      </c>
      <c r="D1057" s="107" t="s">
        <v>2252</v>
      </c>
      <c r="E1057" s="106" t="s">
        <v>41</v>
      </c>
      <c r="F1057" s="106" t="s">
        <v>64</v>
      </c>
      <c r="G1057" s="93" t="s">
        <v>2264</v>
      </c>
      <c r="H1057" s="16"/>
      <c r="K1057" s="14"/>
      <c r="L1057" s="32"/>
      <c r="M1057" s="14"/>
      <c r="N1057" s="14"/>
    </row>
    <row r="1058" spans="1:14" hidden="1">
      <c r="A1058" s="105">
        <v>46041</v>
      </c>
      <c r="B1058" s="106" t="s">
        <v>197</v>
      </c>
      <c r="C1058" s="107" t="s">
        <v>1268</v>
      </c>
      <c r="D1058" s="107" t="s">
        <v>1799</v>
      </c>
      <c r="E1058" s="106" t="s">
        <v>41</v>
      </c>
      <c r="F1058" s="106" t="s">
        <v>71</v>
      </c>
      <c r="G1058" s="93" t="s">
        <v>2265</v>
      </c>
      <c r="H1058" s="16"/>
      <c r="K1058" s="14"/>
      <c r="L1058" s="32"/>
      <c r="M1058" s="14"/>
      <c r="N1058" s="32"/>
    </row>
    <row r="1059" spans="1:14" ht="63" hidden="1">
      <c r="A1059" s="105">
        <v>46041</v>
      </c>
      <c r="B1059" s="106" t="s">
        <v>75</v>
      </c>
      <c r="C1059" s="107" t="s">
        <v>1414</v>
      </c>
      <c r="D1059" s="107" t="s">
        <v>2266</v>
      </c>
      <c r="E1059" s="106" t="s">
        <v>41</v>
      </c>
      <c r="F1059" s="106" t="s">
        <v>71</v>
      </c>
      <c r="G1059" s="93" t="s">
        <v>2267</v>
      </c>
      <c r="H1059" s="16"/>
      <c r="K1059" s="14"/>
      <c r="L1059" s="32"/>
      <c r="M1059" s="14"/>
      <c r="N1059" s="32"/>
    </row>
    <row r="1060" spans="1:14" ht="31.5" hidden="1">
      <c r="A1060" s="105">
        <v>46041</v>
      </c>
      <c r="B1060" s="106" t="s">
        <v>76</v>
      </c>
      <c r="C1060" s="107" t="s">
        <v>1236</v>
      </c>
      <c r="D1060" s="107" t="s">
        <v>2268</v>
      </c>
      <c r="E1060" s="106" t="s">
        <v>40</v>
      </c>
      <c r="F1060" s="106" t="s">
        <v>77</v>
      </c>
      <c r="G1060" s="93" t="s">
        <v>2269</v>
      </c>
      <c r="H1060" s="16"/>
      <c r="K1060" s="14"/>
      <c r="L1060" s="32"/>
      <c r="M1060" s="14"/>
      <c r="N1060" s="32"/>
    </row>
    <row r="1061" spans="1:14" hidden="1">
      <c r="A1061" s="105">
        <v>46041</v>
      </c>
      <c r="B1061" s="106" t="s">
        <v>75</v>
      </c>
      <c r="C1061" s="107" t="s">
        <v>1213</v>
      </c>
      <c r="D1061" s="107" t="s">
        <v>1509</v>
      </c>
      <c r="E1061" s="106" t="s">
        <v>40</v>
      </c>
      <c r="F1061" s="106" t="s">
        <v>77</v>
      </c>
      <c r="G1061" s="93" t="s">
        <v>2270</v>
      </c>
      <c r="H1061" s="16"/>
      <c r="K1061" s="14"/>
      <c r="L1061" s="32"/>
      <c r="M1061" s="14"/>
      <c r="N1061" s="32"/>
    </row>
    <row r="1062" spans="1:14" hidden="1">
      <c r="A1062" s="105">
        <v>46042</v>
      </c>
      <c r="B1062" s="106" t="s">
        <v>197</v>
      </c>
      <c r="C1062" s="107" t="s">
        <v>1261</v>
      </c>
      <c r="D1062" s="107" t="s">
        <v>2271</v>
      </c>
      <c r="E1062" s="106" t="s">
        <v>41</v>
      </c>
      <c r="F1062" s="106" t="s">
        <v>71</v>
      </c>
      <c r="G1062" s="93" t="s">
        <v>2272</v>
      </c>
      <c r="H1062" s="16"/>
      <c r="K1062" s="14"/>
      <c r="L1062" s="32"/>
      <c r="M1062" s="14"/>
      <c r="N1062" s="32"/>
    </row>
    <row r="1063" spans="1:14" ht="31.5" hidden="1">
      <c r="A1063" s="105">
        <v>46042</v>
      </c>
      <c r="B1063" s="106" t="s">
        <v>75</v>
      </c>
      <c r="C1063" s="107" t="s">
        <v>1414</v>
      </c>
      <c r="D1063" s="107" t="s">
        <v>1518</v>
      </c>
      <c r="E1063" s="106" t="s">
        <v>41</v>
      </c>
      <c r="F1063" s="106" t="s">
        <v>71</v>
      </c>
      <c r="G1063" s="93" t="s">
        <v>2273</v>
      </c>
      <c r="H1063" s="16"/>
      <c r="K1063" s="14"/>
      <c r="L1063" s="32"/>
      <c r="M1063" s="14"/>
      <c r="N1063" s="32"/>
    </row>
    <row r="1064" spans="1:14" ht="31.5" hidden="1">
      <c r="A1064" s="105">
        <v>46042</v>
      </c>
      <c r="B1064" s="106" t="s">
        <v>197</v>
      </c>
      <c r="C1064" s="107" t="s">
        <v>1338</v>
      </c>
      <c r="D1064" s="107" t="s">
        <v>2274</v>
      </c>
      <c r="E1064" s="106" t="s">
        <v>41</v>
      </c>
      <c r="F1064" s="106" t="s">
        <v>71</v>
      </c>
      <c r="G1064" s="93" t="s">
        <v>2275</v>
      </c>
      <c r="H1064" s="16"/>
      <c r="K1064" s="14"/>
      <c r="L1064" s="32"/>
      <c r="M1064" s="14"/>
      <c r="N1064" s="14"/>
    </row>
    <row r="1065" spans="1:14" ht="31.5" hidden="1">
      <c r="A1065" s="105">
        <v>46042</v>
      </c>
      <c r="B1065" s="106" t="s">
        <v>197</v>
      </c>
      <c r="C1065" s="107" t="s">
        <v>1297</v>
      </c>
      <c r="D1065" s="107" t="s">
        <v>2276</v>
      </c>
      <c r="E1065" s="106" t="s">
        <v>41</v>
      </c>
      <c r="F1065" s="106" t="s">
        <v>71</v>
      </c>
      <c r="G1065" s="93" t="s">
        <v>2277</v>
      </c>
      <c r="H1065" s="16"/>
      <c r="K1065" s="14"/>
      <c r="L1065" s="32"/>
      <c r="M1065" s="14"/>
      <c r="N1065" s="14"/>
    </row>
    <row r="1066" spans="1:14" s="110" customFormat="1" hidden="1">
      <c r="A1066" s="105">
        <v>46042</v>
      </c>
      <c r="B1066" s="106" t="s">
        <v>197</v>
      </c>
      <c r="C1066" s="106" t="s">
        <v>1338</v>
      </c>
      <c r="D1066" s="106" t="s">
        <v>1550</v>
      </c>
      <c r="E1066" s="106" t="s">
        <v>41</v>
      </c>
      <c r="F1066" s="106" t="s">
        <v>77</v>
      </c>
      <c r="G1066" s="108" t="s">
        <v>2278</v>
      </c>
      <c r="H1066" s="109"/>
      <c r="K1066" s="111"/>
      <c r="L1066" s="112"/>
      <c r="M1066" s="111"/>
      <c r="N1066" s="111"/>
    </row>
    <row r="1067" spans="1:14" ht="47.25" hidden="1">
      <c r="A1067" s="105">
        <v>46042</v>
      </c>
      <c r="B1067" s="106" t="s">
        <v>76</v>
      </c>
      <c r="C1067" s="107" t="s">
        <v>2279</v>
      </c>
      <c r="D1067" s="107" t="s">
        <v>2280</v>
      </c>
      <c r="E1067" s="106" t="s">
        <v>40</v>
      </c>
      <c r="F1067" s="106" t="s">
        <v>71</v>
      </c>
      <c r="G1067" s="93" t="s">
        <v>2281</v>
      </c>
      <c r="H1067" s="16"/>
      <c r="K1067" s="14"/>
      <c r="L1067" s="32"/>
      <c r="M1067" s="14"/>
      <c r="N1067" s="14"/>
    </row>
    <row r="1068" spans="1:14" ht="157.5" hidden="1">
      <c r="A1068" s="105">
        <v>46042</v>
      </c>
      <c r="B1068" s="106" t="s">
        <v>75</v>
      </c>
      <c r="C1068" s="107" t="s">
        <v>1452</v>
      </c>
      <c r="D1068" s="107" t="s">
        <v>2022</v>
      </c>
      <c r="E1068" s="106" t="s">
        <v>40</v>
      </c>
      <c r="F1068" s="106" t="s">
        <v>71</v>
      </c>
      <c r="G1068" s="93" t="s">
        <v>2282</v>
      </c>
      <c r="H1068" s="16"/>
      <c r="K1068" s="14"/>
      <c r="L1068" s="32"/>
      <c r="M1068" s="14"/>
      <c r="N1068" s="14"/>
    </row>
    <row r="1069" spans="1:14" ht="47.25" hidden="1">
      <c r="A1069" s="105">
        <v>46042</v>
      </c>
      <c r="B1069" s="106" t="s">
        <v>75</v>
      </c>
      <c r="C1069" s="107" t="s">
        <v>1589</v>
      </c>
      <c r="D1069" s="107" t="s">
        <v>1315</v>
      </c>
      <c r="E1069" s="106" t="s">
        <v>40</v>
      </c>
      <c r="F1069" s="106" t="s">
        <v>71</v>
      </c>
      <c r="G1069" s="93" t="s">
        <v>2283</v>
      </c>
      <c r="H1069" s="16"/>
      <c r="K1069" s="14"/>
      <c r="L1069" s="32"/>
      <c r="M1069" s="14"/>
      <c r="N1069" s="14"/>
    </row>
    <row r="1070" spans="1:14" hidden="1">
      <c r="A1070" s="105">
        <v>46043</v>
      </c>
      <c r="B1070" s="106" t="s">
        <v>75</v>
      </c>
      <c r="C1070" s="107" t="s">
        <v>2284</v>
      </c>
      <c r="D1070" s="107" t="s">
        <v>2285</v>
      </c>
      <c r="E1070" s="106" t="s">
        <v>41</v>
      </c>
      <c r="F1070" s="106" t="s">
        <v>77</v>
      </c>
      <c r="G1070" s="93" t="s">
        <v>1385</v>
      </c>
      <c r="H1070" s="16"/>
      <c r="K1070" s="14"/>
      <c r="L1070" s="32"/>
      <c r="M1070" s="14"/>
      <c r="N1070" s="14"/>
    </row>
    <row r="1071" spans="1:14" hidden="1">
      <c r="A1071" s="105">
        <v>46043</v>
      </c>
      <c r="B1071" s="106" t="s">
        <v>75</v>
      </c>
      <c r="C1071" s="107" t="s">
        <v>2284</v>
      </c>
      <c r="D1071" s="107" t="s">
        <v>2030</v>
      </c>
      <c r="E1071" s="106" t="s">
        <v>41</v>
      </c>
      <c r="F1071" s="106" t="s">
        <v>77</v>
      </c>
      <c r="G1071" s="93" t="s">
        <v>1542</v>
      </c>
      <c r="H1071" s="16"/>
      <c r="K1071" s="14"/>
      <c r="L1071" s="32"/>
      <c r="M1071" s="14"/>
      <c r="N1071" s="14"/>
    </row>
    <row r="1072" spans="1:14" ht="31.5" hidden="1">
      <c r="A1072" s="105">
        <v>46043</v>
      </c>
      <c r="B1072" s="106" t="s">
        <v>75</v>
      </c>
      <c r="C1072" s="107" t="s">
        <v>1639</v>
      </c>
      <c r="D1072" s="107" t="s">
        <v>2286</v>
      </c>
      <c r="E1072" s="106" t="s">
        <v>41</v>
      </c>
      <c r="F1072" s="106" t="s">
        <v>71</v>
      </c>
      <c r="G1072" s="93" t="s">
        <v>2287</v>
      </c>
      <c r="H1072" s="16"/>
      <c r="K1072" s="14"/>
      <c r="L1072" s="32"/>
      <c r="M1072" s="14"/>
      <c r="N1072" s="14"/>
    </row>
    <row r="1073" spans="1:14" hidden="1">
      <c r="A1073" s="105">
        <v>46043</v>
      </c>
      <c r="B1073" s="106" t="s">
        <v>75</v>
      </c>
      <c r="C1073" s="107" t="s">
        <v>1414</v>
      </c>
      <c r="D1073" s="107" t="s">
        <v>2266</v>
      </c>
      <c r="E1073" s="106" t="s">
        <v>41</v>
      </c>
      <c r="F1073" s="106" t="s">
        <v>71</v>
      </c>
      <c r="G1073" s="93" t="s">
        <v>2288</v>
      </c>
      <c r="H1073" s="16"/>
      <c r="K1073" s="14"/>
      <c r="L1073" s="32"/>
      <c r="M1073" s="14"/>
      <c r="N1073" s="14"/>
    </row>
    <row r="1074" spans="1:14" hidden="1">
      <c r="A1074" s="105">
        <v>46043</v>
      </c>
      <c r="B1074" s="106" t="s">
        <v>75</v>
      </c>
      <c r="C1074" s="107" t="s">
        <v>477</v>
      </c>
      <c r="D1074" s="107" t="s">
        <v>523</v>
      </c>
      <c r="E1074" s="106" t="s">
        <v>41</v>
      </c>
      <c r="F1074" s="106" t="s">
        <v>77</v>
      </c>
      <c r="G1074" s="93" t="s">
        <v>2289</v>
      </c>
      <c r="H1074" s="16"/>
      <c r="K1074" s="14"/>
      <c r="L1074" s="32"/>
      <c r="M1074" s="14"/>
      <c r="N1074" s="14"/>
    </row>
    <row r="1075" spans="1:14" hidden="1">
      <c r="A1075" s="105">
        <v>46043</v>
      </c>
      <c r="B1075" s="106" t="s">
        <v>75</v>
      </c>
      <c r="C1075" s="107" t="s">
        <v>333</v>
      </c>
      <c r="D1075" s="107" t="s">
        <v>334</v>
      </c>
      <c r="E1075" s="106" t="s">
        <v>41</v>
      </c>
      <c r="F1075" s="106" t="s">
        <v>77</v>
      </c>
      <c r="G1075" s="93" t="s">
        <v>613</v>
      </c>
      <c r="H1075" s="16"/>
      <c r="K1075" s="14"/>
      <c r="L1075" s="32"/>
      <c r="M1075" s="14"/>
      <c r="N1075" s="14"/>
    </row>
    <row r="1076" spans="1:14" ht="31.5" hidden="1">
      <c r="A1076" s="105">
        <v>46043</v>
      </c>
      <c r="B1076" s="106" t="s">
        <v>197</v>
      </c>
      <c r="C1076" s="107" t="s">
        <v>1230</v>
      </c>
      <c r="D1076" s="107" t="s">
        <v>2290</v>
      </c>
      <c r="E1076" s="106" t="s">
        <v>41</v>
      </c>
      <c r="F1076" s="106" t="s">
        <v>64</v>
      </c>
      <c r="G1076" s="93" t="s">
        <v>2291</v>
      </c>
      <c r="H1076" s="16"/>
      <c r="K1076" s="14"/>
      <c r="L1076" s="32"/>
      <c r="M1076" s="14"/>
      <c r="N1076" s="14"/>
    </row>
    <row r="1077" spans="1:14" ht="31.5" hidden="1">
      <c r="A1077" s="105">
        <v>46043</v>
      </c>
      <c r="B1077" s="106" t="s">
        <v>197</v>
      </c>
      <c r="C1077" s="107" t="s">
        <v>1414</v>
      </c>
      <c r="D1077" s="107" t="s">
        <v>2292</v>
      </c>
      <c r="E1077" s="106" t="s">
        <v>41</v>
      </c>
      <c r="F1077" s="106" t="s">
        <v>71</v>
      </c>
      <c r="G1077" s="93" t="s">
        <v>2293</v>
      </c>
      <c r="H1077" s="16"/>
      <c r="K1077" s="14"/>
      <c r="L1077" s="32"/>
      <c r="M1077" s="14"/>
      <c r="N1077" s="14"/>
    </row>
    <row r="1078" spans="1:14" ht="31.5" hidden="1">
      <c r="A1078" s="105">
        <v>46043</v>
      </c>
      <c r="B1078" s="106" t="s">
        <v>197</v>
      </c>
      <c r="C1078" s="107" t="s">
        <v>1233</v>
      </c>
      <c r="D1078" s="107" t="s">
        <v>2294</v>
      </c>
      <c r="E1078" s="106" t="s">
        <v>40</v>
      </c>
      <c r="F1078" s="106" t="s">
        <v>71</v>
      </c>
      <c r="G1078" s="93" t="s">
        <v>2295</v>
      </c>
      <c r="H1078" s="16"/>
      <c r="K1078" s="14"/>
      <c r="L1078" s="32"/>
      <c r="M1078" s="14"/>
      <c r="N1078" s="14"/>
    </row>
    <row r="1079" spans="1:14" ht="47.25" hidden="1">
      <c r="A1079" s="105">
        <v>46043</v>
      </c>
      <c r="B1079" s="106" t="s">
        <v>76</v>
      </c>
      <c r="C1079" s="107" t="s">
        <v>1202</v>
      </c>
      <c r="D1079" s="107" t="s">
        <v>2296</v>
      </c>
      <c r="E1079" s="106" t="s">
        <v>40</v>
      </c>
      <c r="F1079" s="106" t="s">
        <v>71</v>
      </c>
      <c r="G1079" s="93" t="s">
        <v>2297</v>
      </c>
      <c r="H1079" s="16"/>
      <c r="K1079" s="14"/>
      <c r="L1079" s="32"/>
      <c r="M1079" s="14"/>
      <c r="N1079" s="14"/>
    </row>
    <row r="1080" spans="1:14" ht="141.75" hidden="1">
      <c r="A1080" s="105">
        <v>46044</v>
      </c>
      <c r="B1080" s="106" t="s">
        <v>75</v>
      </c>
      <c r="C1080" s="107" t="s">
        <v>42</v>
      </c>
      <c r="D1080" s="107" t="s">
        <v>2298</v>
      </c>
      <c r="E1080" s="106" t="s">
        <v>41</v>
      </c>
      <c r="F1080" s="106" t="s">
        <v>71</v>
      </c>
      <c r="G1080" s="108" t="s">
        <v>2299</v>
      </c>
      <c r="H1080" s="16"/>
      <c r="K1080" s="14"/>
      <c r="L1080" s="32"/>
      <c r="M1080" s="14"/>
      <c r="N1080" s="14"/>
    </row>
    <row r="1081" spans="1:14" ht="31.5" hidden="1">
      <c r="A1081" s="105">
        <v>46044</v>
      </c>
      <c r="B1081" s="106" t="s">
        <v>197</v>
      </c>
      <c r="C1081" s="107" t="s">
        <v>2165</v>
      </c>
      <c r="D1081" s="107" t="s">
        <v>2166</v>
      </c>
      <c r="E1081" s="106" t="s">
        <v>41</v>
      </c>
      <c r="F1081" s="106" t="s">
        <v>71</v>
      </c>
      <c r="G1081" s="93" t="s">
        <v>2300</v>
      </c>
      <c r="H1081" s="16"/>
      <c r="K1081" s="14"/>
      <c r="L1081" s="32"/>
      <c r="M1081" s="14"/>
      <c r="N1081" s="14"/>
    </row>
    <row r="1082" spans="1:14" ht="31.5" hidden="1">
      <c r="A1082" s="105">
        <v>46044</v>
      </c>
      <c r="B1082" s="106" t="s">
        <v>75</v>
      </c>
      <c r="C1082" s="107" t="s">
        <v>533</v>
      </c>
      <c r="D1082" s="107" t="s">
        <v>2301</v>
      </c>
      <c r="E1082" s="106" t="s">
        <v>41</v>
      </c>
      <c r="F1082" s="106" t="s">
        <v>64</v>
      </c>
      <c r="G1082" s="93" t="s">
        <v>2302</v>
      </c>
      <c r="H1082" s="16"/>
      <c r="K1082" s="14"/>
      <c r="L1082" s="32"/>
      <c r="M1082" s="14"/>
      <c r="N1082" s="14"/>
    </row>
    <row r="1083" spans="1:14" hidden="1">
      <c r="A1083" s="105">
        <v>46044</v>
      </c>
      <c r="B1083" s="106" t="s">
        <v>75</v>
      </c>
      <c r="C1083" s="107" t="s">
        <v>2303</v>
      </c>
      <c r="D1083" s="107" t="s">
        <v>2304</v>
      </c>
      <c r="E1083" s="106" t="s">
        <v>41</v>
      </c>
      <c r="F1083" s="106" t="s">
        <v>64</v>
      </c>
      <c r="G1083" s="93" t="s">
        <v>2305</v>
      </c>
      <c r="H1083" s="16"/>
      <c r="K1083" s="14"/>
      <c r="L1083" s="32"/>
      <c r="M1083" s="14"/>
      <c r="N1083" s="14"/>
    </row>
    <row r="1084" spans="1:14" ht="31.5" hidden="1">
      <c r="A1084" s="105">
        <v>46044</v>
      </c>
      <c r="B1084" s="106" t="s">
        <v>197</v>
      </c>
      <c r="C1084" s="107" t="s">
        <v>362</v>
      </c>
      <c r="D1084" s="107" t="s">
        <v>421</v>
      </c>
      <c r="E1084" s="106" t="s">
        <v>41</v>
      </c>
      <c r="F1084" s="106" t="s">
        <v>64</v>
      </c>
      <c r="G1084" s="93" t="s">
        <v>2306</v>
      </c>
      <c r="H1084" s="16"/>
      <c r="K1084" s="14"/>
      <c r="L1084" s="32"/>
      <c r="M1084" s="14"/>
      <c r="N1084" s="14"/>
    </row>
    <row r="1085" spans="1:14" hidden="1">
      <c r="A1085" s="105">
        <v>46044</v>
      </c>
      <c r="B1085" s="106" t="s">
        <v>76</v>
      </c>
      <c r="C1085" s="107" t="s">
        <v>1442</v>
      </c>
      <c r="D1085" s="107" t="s">
        <v>2307</v>
      </c>
      <c r="E1085" s="106" t="s">
        <v>41</v>
      </c>
      <c r="F1085" s="106" t="s">
        <v>64</v>
      </c>
      <c r="G1085" s="93" t="s">
        <v>65</v>
      </c>
      <c r="H1085" s="16"/>
      <c r="K1085" s="14"/>
      <c r="L1085" s="32"/>
      <c r="M1085" s="14"/>
      <c r="N1085" s="14"/>
    </row>
    <row r="1086" spans="1:14" hidden="1">
      <c r="A1086" s="105">
        <v>46044</v>
      </c>
      <c r="B1086" s="106" t="s">
        <v>76</v>
      </c>
      <c r="C1086" s="107" t="s">
        <v>1442</v>
      </c>
      <c r="D1086" s="107" t="s">
        <v>2168</v>
      </c>
      <c r="E1086" s="106" t="s">
        <v>41</v>
      </c>
      <c r="F1086" s="106" t="s">
        <v>64</v>
      </c>
      <c r="G1086" s="93" t="s">
        <v>65</v>
      </c>
      <c r="H1086" s="16"/>
      <c r="K1086" s="14"/>
      <c r="L1086" s="32"/>
      <c r="M1086" s="14"/>
      <c r="N1086" s="14"/>
    </row>
    <row r="1087" spans="1:14" ht="47.25" hidden="1">
      <c r="A1087" s="105">
        <v>46044</v>
      </c>
      <c r="B1087" s="106" t="s">
        <v>197</v>
      </c>
      <c r="C1087" s="107" t="s">
        <v>532</v>
      </c>
      <c r="D1087" s="107" t="s">
        <v>539</v>
      </c>
      <c r="E1087" s="106" t="s">
        <v>41</v>
      </c>
      <c r="F1087" s="106" t="s">
        <v>77</v>
      </c>
      <c r="G1087" s="93" t="s">
        <v>2308</v>
      </c>
      <c r="H1087" s="16"/>
      <c r="K1087" s="14"/>
      <c r="L1087" s="32"/>
      <c r="M1087" s="14"/>
      <c r="N1087" s="14"/>
    </row>
    <row r="1088" spans="1:14" hidden="1">
      <c r="A1088" s="105">
        <v>46044</v>
      </c>
      <c r="B1088" s="106" t="s">
        <v>91</v>
      </c>
      <c r="C1088" s="107" t="s">
        <v>2309</v>
      </c>
      <c r="D1088" s="107" t="s">
        <v>2310</v>
      </c>
      <c r="E1088" s="106" t="s">
        <v>41</v>
      </c>
      <c r="F1088" s="106" t="s">
        <v>77</v>
      </c>
      <c r="G1088" s="93" t="s">
        <v>2311</v>
      </c>
      <c r="H1088" s="16"/>
      <c r="K1088" s="14"/>
      <c r="L1088" s="32"/>
      <c r="M1088" s="14"/>
      <c r="N1088" s="14"/>
    </row>
    <row r="1089" spans="1:14" hidden="1">
      <c r="A1089" s="105">
        <v>46044</v>
      </c>
      <c r="B1089" s="106" t="s">
        <v>76</v>
      </c>
      <c r="C1089" s="107" t="s">
        <v>1314</v>
      </c>
      <c r="D1089" s="107" t="s">
        <v>1315</v>
      </c>
      <c r="E1089" s="106" t="s">
        <v>41</v>
      </c>
      <c r="F1089" s="106" t="s">
        <v>64</v>
      </c>
      <c r="G1089" s="93" t="s">
        <v>65</v>
      </c>
      <c r="H1089" s="16"/>
      <c r="K1089" s="14"/>
      <c r="L1089" s="32"/>
      <c r="M1089" s="14"/>
      <c r="N1089" s="14"/>
    </row>
    <row r="1090" spans="1:14" hidden="1">
      <c r="A1090" s="105">
        <v>46044</v>
      </c>
      <c r="B1090" s="106" t="s">
        <v>76</v>
      </c>
      <c r="C1090" s="107" t="s">
        <v>2312</v>
      </c>
      <c r="D1090" s="107" t="s">
        <v>1310</v>
      </c>
      <c r="E1090" s="106" t="s">
        <v>41</v>
      </c>
      <c r="F1090" s="106" t="s">
        <v>64</v>
      </c>
      <c r="G1090" s="93" t="s">
        <v>65</v>
      </c>
      <c r="H1090" s="16"/>
      <c r="K1090" s="14"/>
      <c r="L1090" s="32"/>
      <c r="M1090" s="14"/>
      <c r="N1090" s="14"/>
    </row>
    <row r="1091" spans="1:14" hidden="1">
      <c r="A1091" s="105">
        <v>46044</v>
      </c>
      <c r="B1091" s="106" t="s">
        <v>75</v>
      </c>
      <c r="C1091" s="107" t="s">
        <v>780</v>
      </c>
      <c r="D1091" s="107" t="s">
        <v>2313</v>
      </c>
      <c r="E1091" s="106" t="s">
        <v>41</v>
      </c>
      <c r="F1091" s="106" t="s">
        <v>77</v>
      </c>
      <c r="G1091" s="93" t="s">
        <v>1385</v>
      </c>
      <c r="H1091" s="16"/>
      <c r="K1091" s="14"/>
      <c r="L1091" s="32"/>
      <c r="M1091" s="14"/>
      <c r="N1091" s="14"/>
    </row>
    <row r="1092" spans="1:14" hidden="1">
      <c r="A1092" s="105">
        <v>46044</v>
      </c>
      <c r="B1092" s="106" t="s">
        <v>76</v>
      </c>
      <c r="C1092" s="107" t="s">
        <v>2314</v>
      </c>
      <c r="D1092" s="107" t="s">
        <v>1453</v>
      </c>
      <c r="E1092" s="106" t="s">
        <v>41</v>
      </c>
      <c r="F1092" s="106" t="s">
        <v>64</v>
      </c>
      <c r="G1092" s="93" t="s">
        <v>65</v>
      </c>
      <c r="H1092" s="16"/>
      <c r="K1092" s="14"/>
      <c r="L1092" s="32"/>
      <c r="M1092" s="14"/>
      <c r="N1092" s="14"/>
    </row>
    <row r="1093" spans="1:14" ht="47.25" hidden="1">
      <c r="A1093" s="105">
        <v>46044</v>
      </c>
      <c r="B1093" s="106" t="s">
        <v>197</v>
      </c>
      <c r="C1093" s="107" t="s">
        <v>407</v>
      </c>
      <c r="D1093" s="107" t="s">
        <v>542</v>
      </c>
      <c r="E1093" s="106" t="s">
        <v>41</v>
      </c>
      <c r="F1093" s="106" t="s">
        <v>64</v>
      </c>
      <c r="G1093" s="93" t="s">
        <v>2315</v>
      </c>
      <c r="H1093" s="16"/>
      <c r="K1093" s="14"/>
      <c r="L1093" s="32"/>
      <c r="M1093" s="14"/>
      <c r="N1093" s="14"/>
    </row>
    <row r="1094" spans="1:14" ht="31.5" hidden="1">
      <c r="A1094" s="105">
        <v>46045</v>
      </c>
      <c r="B1094" s="106" t="s">
        <v>197</v>
      </c>
      <c r="C1094" s="106" t="s">
        <v>1639</v>
      </c>
      <c r="D1094" s="106" t="s">
        <v>2286</v>
      </c>
      <c r="E1094" s="106" t="s">
        <v>41</v>
      </c>
      <c r="F1094" s="106" t="s">
        <v>71</v>
      </c>
      <c r="G1094" s="93" t="s">
        <v>2316</v>
      </c>
      <c r="H1094" s="16"/>
      <c r="K1094" s="14"/>
      <c r="L1094" s="32"/>
      <c r="M1094" s="14"/>
      <c r="N1094" s="14"/>
    </row>
    <row r="1095" spans="1:14" hidden="1">
      <c r="A1095" s="105">
        <v>46045</v>
      </c>
      <c r="B1095" s="106" t="s">
        <v>91</v>
      </c>
      <c r="C1095" s="106" t="s">
        <v>2309</v>
      </c>
      <c r="D1095" s="106" t="s">
        <v>2310</v>
      </c>
      <c r="E1095" s="106" t="s">
        <v>41</v>
      </c>
      <c r="F1095" s="106" t="s">
        <v>77</v>
      </c>
      <c r="G1095" s="108" t="s">
        <v>2311</v>
      </c>
      <c r="H1095" s="16"/>
      <c r="K1095" s="14"/>
      <c r="L1095" s="32"/>
      <c r="M1095" s="14"/>
      <c r="N1095" s="14"/>
    </row>
    <row r="1096" spans="1:14" hidden="1">
      <c r="A1096" s="105">
        <v>46045</v>
      </c>
      <c r="B1096" s="106" t="s">
        <v>75</v>
      </c>
      <c r="C1096" s="106" t="s">
        <v>2317</v>
      </c>
      <c r="D1096" s="106" t="s">
        <v>2318</v>
      </c>
      <c r="E1096" s="106" t="s">
        <v>41</v>
      </c>
      <c r="F1096" s="106" t="s">
        <v>77</v>
      </c>
      <c r="G1096" s="108" t="s">
        <v>1385</v>
      </c>
      <c r="H1096" s="16"/>
      <c r="K1096" s="14"/>
      <c r="L1096" s="32"/>
      <c r="M1096" s="14"/>
      <c r="N1096" s="14"/>
    </row>
    <row r="1097" spans="1:14" hidden="1">
      <c r="A1097" s="105">
        <v>46045</v>
      </c>
      <c r="B1097" s="106" t="s">
        <v>75</v>
      </c>
      <c r="C1097" s="106" t="s">
        <v>1219</v>
      </c>
      <c r="D1097" s="106" t="s">
        <v>1775</v>
      </c>
      <c r="E1097" s="106" t="s">
        <v>41</v>
      </c>
      <c r="F1097" s="106" t="s">
        <v>71</v>
      </c>
      <c r="G1097" s="108" t="s">
        <v>2319</v>
      </c>
      <c r="H1097" s="16"/>
      <c r="K1097" s="14"/>
      <c r="L1097" s="32"/>
      <c r="M1097" s="14"/>
      <c r="N1097" s="14"/>
    </row>
    <row r="1098" spans="1:14" hidden="1">
      <c r="A1098" s="105">
        <v>46045</v>
      </c>
      <c r="B1098" s="106" t="s">
        <v>75</v>
      </c>
      <c r="C1098" s="106" t="s">
        <v>780</v>
      </c>
      <c r="D1098" s="106" t="s">
        <v>1835</v>
      </c>
      <c r="E1098" s="106" t="s">
        <v>41</v>
      </c>
      <c r="F1098" s="106" t="s">
        <v>64</v>
      </c>
      <c r="G1098" s="108" t="s">
        <v>2320</v>
      </c>
      <c r="H1098" s="16"/>
      <c r="K1098" s="14"/>
      <c r="L1098" s="32"/>
      <c r="M1098" s="14"/>
      <c r="N1098" s="14"/>
    </row>
    <row r="1099" spans="1:14" hidden="1">
      <c r="A1099" s="105">
        <v>46045</v>
      </c>
      <c r="B1099" s="106" t="s">
        <v>75</v>
      </c>
      <c r="C1099" s="106" t="s">
        <v>1639</v>
      </c>
      <c r="D1099" s="106" t="s">
        <v>2286</v>
      </c>
      <c r="E1099" s="106" t="s">
        <v>41</v>
      </c>
      <c r="F1099" s="106" t="s">
        <v>64</v>
      </c>
      <c r="G1099" s="93" t="s">
        <v>2321</v>
      </c>
      <c r="H1099" s="16"/>
      <c r="K1099" s="14"/>
      <c r="L1099" s="14"/>
      <c r="M1099" s="14"/>
      <c r="N1099" s="14"/>
    </row>
    <row r="1100" spans="1:14" ht="31.5" hidden="1">
      <c r="A1100" s="105">
        <v>46045</v>
      </c>
      <c r="B1100" s="106" t="s">
        <v>197</v>
      </c>
      <c r="C1100" s="106" t="s">
        <v>1261</v>
      </c>
      <c r="D1100" s="106" t="s">
        <v>2160</v>
      </c>
      <c r="E1100" s="106" t="s">
        <v>41</v>
      </c>
      <c r="F1100" s="106" t="s">
        <v>71</v>
      </c>
      <c r="G1100" s="108" t="s">
        <v>2322</v>
      </c>
      <c r="H1100" s="16"/>
      <c r="K1100" s="14"/>
      <c r="L1100" s="14"/>
      <c r="M1100" s="14"/>
      <c r="N1100" s="14"/>
    </row>
    <row r="1101" spans="1:14" ht="78.75" hidden="1">
      <c r="A1101" s="105">
        <v>46045</v>
      </c>
      <c r="B1101" s="106" t="s">
        <v>76</v>
      </c>
      <c r="C1101" s="106" t="s">
        <v>1219</v>
      </c>
      <c r="D1101" s="106" t="s">
        <v>1775</v>
      </c>
      <c r="E1101" s="106" t="s">
        <v>40</v>
      </c>
      <c r="F1101" s="106" t="s">
        <v>71</v>
      </c>
      <c r="G1101" s="108" t="s">
        <v>2323</v>
      </c>
      <c r="H1101" s="16"/>
      <c r="K1101" s="14"/>
      <c r="L1101" s="32"/>
      <c r="M1101" s="14"/>
      <c r="N1101" s="32"/>
    </row>
    <row r="1102" spans="1:14" hidden="1">
      <c r="A1102" s="105">
        <v>46045</v>
      </c>
      <c r="B1102" s="16" t="s">
        <v>76</v>
      </c>
      <c r="C1102" s="16" t="s">
        <v>1222</v>
      </c>
      <c r="D1102" s="16" t="s">
        <v>2324</v>
      </c>
      <c r="E1102" s="16" t="s">
        <v>40</v>
      </c>
      <c r="F1102" s="16" t="s">
        <v>77</v>
      </c>
      <c r="G1102" s="17" t="s">
        <v>2325</v>
      </c>
      <c r="H1102" s="16"/>
      <c r="K1102" s="14"/>
      <c r="L1102" s="14"/>
      <c r="M1102" s="14"/>
      <c r="N1102" s="32"/>
    </row>
    <row r="1103" spans="1:14" hidden="1"/>
    <row r="1104" spans="1:14" hidden="1">
      <c r="A1104" s="3" t="s">
        <v>70</v>
      </c>
      <c r="B1104" s="4" t="s">
        <v>72</v>
      </c>
      <c r="C1104" s="4" t="s">
        <v>16</v>
      </c>
      <c r="D1104" s="34" t="s">
        <v>155</v>
      </c>
      <c r="E1104" s="9" t="s">
        <v>156</v>
      </c>
      <c r="F1104" s="10" t="s">
        <v>157</v>
      </c>
    </row>
    <row r="1105" spans="1:14" hidden="1">
      <c r="A1105" s="135" t="s">
        <v>63</v>
      </c>
      <c r="B1105" s="99" t="s">
        <v>68</v>
      </c>
      <c r="C1105" s="99">
        <v>14</v>
      </c>
      <c r="D1105" s="99">
        <f>C1105</f>
        <v>14</v>
      </c>
      <c r="E1105" s="138">
        <f>D1105+D1107+D1109</f>
        <v>19.333333333333332</v>
      </c>
      <c r="F1105" s="141">
        <f>E1105/12</f>
        <v>1.6111111111111109</v>
      </c>
    </row>
    <row r="1106" spans="1:14" hidden="1">
      <c r="A1106" s="136"/>
      <c r="B1106" s="144" t="s">
        <v>65</v>
      </c>
      <c r="C1106" s="144">
        <v>16</v>
      </c>
      <c r="D1106" s="35" t="s">
        <v>158</v>
      </c>
      <c r="E1106" s="139"/>
      <c r="F1106" s="142"/>
    </row>
    <row r="1107" spans="1:14" hidden="1">
      <c r="A1107" s="136"/>
      <c r="B1107" s="145"/>
      <c r="C1107" s="145"/>
      <c r="D1107" s="16">
        <f>C1106/3</f>
        <v>5.333333333333333</v>
      </c>
      <c r="E1107" s="139"/>
      <c r="F1107" s="142"/>
    </row>
    <row r="1108" spans="1:14" hidden="1">
      <c r="A1108" s="136"/>
      <c r="B1108" s="144" t="s">
        <v>69</v>
      </c>
      <c r="C1108" s="144">
        <v>10</v>
      </c>
      <c r="D1108" s="35" t="s">
        <v>159</v>
      </c>
      <c r="E1108" s="139"/>
      <c r="F1108" s="142"/>
    </row>
    <row r="1109" spans="1:14" hidden="1">
      <c r="A1109" s="137"/>
      <c r="B1109" s="145"/>
      <c r="C1109" s="145"/>
      <c r="D1109" s="16">
        <v>0</v>
      </c>
      <c r="E1109" s="140"/>
      <c r="F1109" s="143"/>
    </row>
    <row r="1110" spans="1:14" hidden="1">
      <c r="A1110" s="36" t="s">
        <v>70</v>
      </c>
      <c r="B1110" s="37" t="s">
        <v>72</v>
      </c>
      <c r="C1110" s="37" t="s">
        <v>16</v>
      </c>
      <c r="D1110" s="146" t="s">
        <v>160</v>
      </c>
      <c r="E1110" s="147"/>
      <c r="F1110" s="148"/>
    </row>
    <row r="1111" spans="1:14" hidden="1">
      <c r="A1111" s="149" t="s">
        <v>62</v>
      </c>
      <c r="B1111" s="16" t="s">
        <v>68</v>
      </c>
      <c r="C1111" s="16">
        <v>6</v>
      </c>
      <c r="D1111" s="151">
        <f>C1111/9</f>
        <v>0.66666666666666663</v>
      </c>
      <c r="E1111" s="152"/>
      <c r="F1111" s="153"/>
    </row>
    <row r="1112" spans="1:14" ht="16.5" hidden="1" thickBot="1">
      <c r="A1112" s="150"/>
      <c r="B1112" s="20" t="s">
        <v>69</v>
      </c>
      <c r="C1112" s="20">
        <v>3</v>
      </c>
      <c r="D1112" s="154"/>
      <c r="E1112" s="155"/>
      <c r="F1112" s="156"/>
    </row>
    <row r="1113" spans="1:14" hidden="1"/>
    <row r="1114" spans="1:14" hidden="1">
      <c r="A1114" t="s">
        <v>2326</v>
      </c>
    </row>
    <row r="1115" spans="1:14" hidden="1">
      <c r="A1115" s="37" t="s">
        <v>58</v>
      </c>
      <c r="B1115" s="37" t="s">
        <v>67</v>
      </c>
      <c r="C1115" s="37" t="s">
        <v>3</v>
      </c>
      <c r="D1115" s="37" t="s">
        <v>57</v>
      </c>
      <c r="E1115" s="37" t="s">
        <v>59</v>
      </c>
      <c r="F1115" s="37" t="s">
        <v>61</v>
      </c>
      <c r="G1115" s="37" t="s">
        <v>60</v>
      </c>
      <c r="H1115" s="37" t="s">
        <v>66</v>
      </c>
      <c r="K1115" s="14"/>
      <c r="L1115" s="14"/>
      <c r="M1115" s="32"/>
      <c r="N1115" s="14"/>
    </row>
    <row r="1116" spans="1:14" ht="94.5" hidden="1">
      <c r="A1116" s="105">
        <v>46048</v>
      </c>
      <c r="B1116" s="106" t="s">
        <v>75</v>
      </c>
      <c r="C1116" s="107" t="s">
        <v>886</v>
      </c>
      <c r="D1116" s="107" t="s">
        <v>1492</v>
      </c>
      <c r="E1116" s="106" t="s">
        <v>40</v>
      </c>
      <c r="F1116" s="106" t="s">
        <v>71</v>
      </c>
      <c r="G1116" s="93" t="s">
        <v>2327</v>
      </c>
      <c r="H1116" s="16"/>
      <c r="K1116" s="14"/>
      <c r="L1116" s="14"/>
      <c r="M1116" s="14"/>
      <c r="N1116" s="14"/>
    </row>
    <row r="1117" spans="1:14" hidden="1">
      <c r="A1117" s="105">
        <v>46048</v>
      </c>
      <c r="B1117" s="106" t="s">
        <v>75</v>
      </c>
      <c r="C1117" s="107" t="s">
        <v>1230</v>
      </c>
      <c r="D1117" s="107" t="s">
        <v>2001</v>
      </c>
      <c r="E1117" s="106" t="s">
        <v>41</v>
      </c>
      <c r="F1117" s="106" t="s">
        <v>64</v>
      </c>
      <c r="G1117" s="93" t="s">
        <v>2328</v>
      </c>
      <c r="H1117" s="16"/>
      <c r="K1117" s="14"/>
      <c r="L1117" s="14"/>
      <c r="M1117" s="14"/>
      <c r="N1117" s="14"/>
    </row>
    <row r="1118" spans="1:14" hidden="1">
      <c r="A1118" s="105">
        <v>46048</v>
      </c>
      <c r="B1118" s="106" t="s">
        <v>76</v>
      </c>
      <c r="C1118" s="107" t="s">
        <v>362</v>
      </c>
      <c r="D1118" s="107" t="s">
        <v>421</v>
      </c>
      <c r="E1118" s="106" t="s">
        <v>41</v>
      </c>
      <c r="F1118" s="106" t="s">
        <v>77</v>
      </c>
      <c r="G1118" s="93" t="s">
        <v>2329</v>
      </c>
      <c r="H1118" s="16"/>
      <c r="K1118" s="14"/>
      <c r="L1118" s="14"/>
      <c r="M1118" s="14"/>
      <c r="N1118" s="14"/>
    </row>
    <row r="1119" spans="1:14" hidden="1">
      <c r="A1119" s="105">
        <v>46048</v>
      </c>
      <c r="B1119" s="106" t="s">
        <v>76</v>
      </c>
      <c r="C1119" s="107" t="s">
        <v>1323</v>
      </c>
      <c r="D1119" s="107" t="s">
        <v>1433</v>
      </c>
      <c r="E1119" s="106" t="s">
        <v>41</v>
      </c>
      <c r="F1119" s="106" t="s">
        <v>64</v>
      </c>
      <c r="G1119" s="93" t="s">
        <v>65</v>
      </c>
      <c r="H1119" s="16"/>
      <c r="K1119" s="14"/>
      <c r="L1119" s="32"/>
      <c r="M1119" s="14"/>
      <c r="N1119" s="14"/>
    </row>
    <row r="1120" spans="1:14" ht="63" hidden="1">
      <c r="A1120" s="105">
        <v>46048</v>
      </c>
      <c r="B1120" s="106" t="s">
        <v>76</v>
      </c>
      <c r="C1120" s="107" t="s">
        <v>1338</v>
      </c>
      <c r="D1120" s="107" t="s">
        <v>2330</v>
      </c>
      <c r="E1120" s="106" t="s">
        <v>41</v>
      </c>
      <c r="F1120" s="106" t="s">
        <v>77</v>
      </c>
      <c r="G1120" s="93" t="s">
        <v>2331</v>
      </c>
      <c r="H1120" s="16"/>
      <c r="K1120" s="14"/>
      <c r="L1120" s="32"/>
      <c r="M1120" s="14"/>
      <c r="N1120" s="32"/>
    </row>
    <row r="1121" spans="1:14" ht="31.5" hidden="1">
      <c r="A1121" s="105">
        <v>46048</v>
      </c>
      <c r="B1121" s="106" t="s">
        <v>197</v>
      </c>
      <c r="C1121" s="107" t="s">
        <v>407</v>
      </c>
      <c r="D1121" s="107" t="s">
        <v>423</v>
      </c>
      <c r="E1121" s="106" t="s">
        <v>41</v>
      </c>
      <c r="F1121" s="106" t="s">
        <v>71</v>
      </c>
      <c r="G1121" s="93" t="s">
        <v>2332</v>
      </c>
      <c r="H1121" s="16"/>
      <c r="K1121" s="14"/>
      <c r="L1121" s="32"/>
      <c r="M1121" s="14"/>
      <c r="N1121" s="32"/>
    </row>
    <row r="1122" spans="1:14" ht="63" hidden="1">
      <c r="A1122" s="105">
        <v>46049</v>
      </c>
      <c r="B1122" s="106" t="s">
        <v>76</v>
      </c>
      <c r="C1122" s="107" t="s">
        <v>1323</v>
      </c>
      <c r="D1122" s="107" t="s">
        <v>1433</v>
      </c>
      <c r="E1122" s="106" t="s">
        <v>40</v>
      </c>
      <c r="F1122" s="106" t="s">
        <v>71</v>
      </c>
      <c r="G1122" s="93" t="s">
        <v>2333</v>
      </c>
      <c r="H1122" s="16"/>
      <c r="K1122" s="14"/>
      <c r="L1122" s="32"/>
      <c r="M1122" s="14"/>
      <c r="N1122" s="32"/>
    </row>
    <row r="1123" spans="1:14" ht="126" hidden="1">
      <c r="A1123" s="105">
        <v>46049</v>
      </c>
      <c r="B1123" s="106" t="s">
        <v>91</v>
      </c>
      <c r="C1123" s="107" t="s">
        <v>2243</v>
      </c>
      <c r="D1123" s="107" t="s">
        <v>2334</v>
      </c>
      <c r="E1123" s="106" t="s">
        <v>40</v>
      </c>
      <c r="F1123" s="106" t="s">
        <v>71</v>
      </c>
      <c r="G1123" s="93" t="s">
        <v>2335</v>
      </c>
      <c r="H1123" s="16"/>
      <c r="K1123" s="14"/>
      <c r="L1123" s="32"/>
      <c r="M1123" s="14"/>
      <c r="N1123" s="32"/>
    </row>
    <row r="1124" spans="1:14" ht="47.25" hidden="1">
      <c r="A1124" s="105">
        <v>46049</v>
      </c>
      <c r="B1124" s="106" t="s">
        <v>76</v>
      </c>
      <c r="C1124" s="107" t="s">
        <v>1442</v>
      </c>
      <c r="D1124" s="107" t="s">
        <v>2307</v>
      </c>
      <c r="E1124" s="106" t="s">
        <v>40</v>
      </c>
      <c r="F1124" s="106" t="s">
        <v>77</v>
      </c>
      <c r="G1124" s="93" t="s">
        <v>2336</v>
      </c>
      <c r="H1124" s="16"/>
      <c r="K1124" s="14"/>
      <c r="L1124" s="32"/>
      <c r="M1124" s="14"/>
      <c r="N1124" s="32"/>
    </row>
    <row r="1125" spans="1:14" ht="78.75" hidden="1">
      <c r="A1125" s="105">
        <v>46049</v>
      </c>
      <c r="B1125" s="106" t="s">
        <v>197</v>
      </c>
      <c r="C1125" s="107" t="s">
        <v>533</v>
      </c>
      <c r="D1125" s="107" t="s">
        <v>541</v>
      </c>
      <c r="E1125" s="106" t="s">
        <v>40</v>
      </c>
      <c r="F1125" s="106" t="s">
        <v>71</v>
      </c>
      <c r="G1125" s="93" t="s">
        <v>2337</v>
      </c>
      <c r="H1125" s="16"/>
      <c r="K1125" s="14"/>
      <c r="L1125" s="32"/>
      <c r="M1125" s="14"/>
      <c r="N1125" s="32"/>
    </row>
    <row r="1126" spans="1:14" ht="31.5" hidden="1">
      <c r="A1126" s="105">
        <v>46049</v>
      </c>
      <c r="B1126" s="106" t="s">
        <v>197</v>
      </c>
      <c r="C1126" s="107" t="s">
        <v>407</v>
      </c>
      <c r="D1126" s="107" t="s">
        <v>423</v>
      </c>
      <c r="E1126" s="106" t="s">
        <v>41</v>
      </c>
      <c r="F1126" s="106" t="s">
        <v>71</v>
      </c>
      <c r="G1126" s="93" t="s">
        <v>2338</v>
      </c>
      <c r="H1126" s="16"/>
      <c r="K1126" s="14"/>
      <c r="L1126" s="32"/>
      <c r="M1126" s="14"/>
      <c r="N1126" s="14"/>
    </row>
    <row r="1127" spans="1:14" ht="31.5" hidden="1">
      <c r="A1127" s="105">
        <v>46049</v>
      </c>
      <c r="B1127" s="106" t="s">
        <v>76</v>
      </c>
      <c r="C1127" s="107" t="s">
        <v>1338</v>
      </c>
      <c r="D1127" s="107" t="s">
        <v>2330</v>
      </c>
      <c r="E1127" s="106" t="s">
        <v>41</v>
      </c>
      <c r="F1127" s="106" t="s">
        <v>77</v>
      </c>
      <c r="G1127" s="93" t="s">
        <v>2339</v>
      </c>
      <c r="H1127" s="16"/>
      <c r="K1127" s="14"/>
      <c r="L1127" s="32"/>
      <c r="M1127" s="14"/>
      <c r="N1127" s="14"/>
    </row>
    <row r="1128" spans="1:14" s="110" customFormat="1" hidden="1">
      <c r="A1128" s="105">
        <v>46049</v>
      </c>
      <c r="B1128" s="106" t="s">
        <v>76</v>
      </c>
      <c r="C1128" s="106" t="s">
        <v>1261</v>
      </c>
      <c r="D1128" s="106" t="s">
        <v>2340</v>
      </c>
      <c r="E1128" s="106" t="s">
        <v>41</v>
      </c>
      <c r="F1128" s="106" t="s">
        <v>71</v>
      </c>
      <c r="G1128" s="108" t="s">
        <v>2341</v>
      </c>
      <c r="H1128" s="109"/>
      <c r="K1128" s="111"/>
      <c r="L1128" s="112"/>
      <c r="M1128" s="111"/>
      <c r="N1128" s="111"/>
    </row>
    <row r="1129" spans="1:14" hidden="1">
      <c r="A1129" s="105">
        <v>46049</v>
      </c>
      <c r="B1129" s="106" t="s">
        <v>197</v>
      </c>
      <c r="C1129" s="107" t="s">
        <v>1210</v>
      </c>
      <c r="D1129" s="107" t="s">
        <v>2342</v>
      </c>
      <c r="E1129" s="106" t="s">
        <v>41</v>
      </c>
      <c r="F1129" s="106" t="s">
        <v>71</v>
      </c>
      <c r="G1129" s="93" t="s">
        <v>2343</v>
      </c>
      <c r="H1129" s="16"/>
      <c r="K1129" s="14"/>
      <c r="L1129" s="32"/>
      <c r="M1129" s="14"/>
      <c r="N1129" s="14"/>
    </row>
    <row r="1130" spans="1:14" ht="47.25" hidden="1">
      <c r="A1130" s="105">
        <v>46049</v>
      </c>
      <c r="B1130" s="106" t="s">
        <v>197</v>
      </c>
      <c r="C1130" s="107" t="s">
        <v>357</v>
      </c>
      <c r="D1130" s="107" t="s">
        <v>2344</v>
      </c>
      <c r="E1130" s="106" t="s">
        <v>41</v>
      </c>
      <c r="F1130" s="106" t="s">
        <v>77</v>
      </c>
      <c r="G1130" s="93" t="s">
        <v>2345</v>
      </c>
      <c r="H1130" s="16"/>
      <c r="K1130" s="14"/>
      <c r="L1130" s="32"/>
      <c r="M1130" s="14"/>
      <c r="N1130" s="14"/>
    </row>
    <row r="1131" spans="1:14" ht="47.25" hidden="1">
      <c r="A1131" s="105">
        <v>46049</v>
      </c>
      <c r="B1131" s="106" t="s">
        <v>197</v>
      </c>
      <c r="C1131" s="107" t="s">
        <v>1414</v>
      </c>
      <c r="D1131" s="107" t="s">
        <v>2266</v>
      </c>
      <c r="E1131" s="106" t="s">
        <v>41</v>
      </c>
      <c r="F1131" s="106" t="s">
        <v>77</v>
      </c>
      <c r="G1131" s="93" t="s">
        <v>2346</v>
      </c>
      <c r="H1131" s="16"/>
      <c r="K1131" s="14"/>
      <c r="L1131" s="32"/>
      <c r="M1131" s="14"/>
      <c r="N1131" s="14"/>
    </row>
    <row r="1132" spans="1:14" ht="330.75" hidden="1">
      <c r="A1132" s="105">
        <v>46050</v>
      </c>
      <c r="B1132" s="106" t="s">
        <v>75</v>
      </c>
      <c r="C1132" s="107" t="s">
        <v>295</v>
      </c>
      <c r="D1132" s="107" t="s">
        <v>1453</v>
      </c>
      <c r="E1132" s="106" t="s">
        <v>40</v>
      </c>
      <c r="F1132" s="106" t="s">
        <v>71</v>
      </c>
      <c r="G1132" s="93" t="s">
        <v>2347</v>
      </c>
      <c r="H1132" s="16"/>
      <c r="K1132" s="14"/>
      <c r="L1132" s="32"/>
      <c r="M1132" s="14"/>
      <c r="N1132" s="14"/>
    </row>
    <row r="1133" spans="1:14" ht="141.75" hidden="1">
      <c r="A1133" s="105">
        <v>46050</v>
      </c>
      <c r="B1133" s="106" t="s">
        <v>76</v>
      </c>
      <c r="C1133" s="107" t="s">
        <v>1314</v>
      </c>
      <c r="D1133" s="107" t="s">
        <v>1315</v>
      </c>
      <c r="E1133" s="106" t="s">
        <v>40</v>
      </c>
      <c r="F1133" s="106" t="s">
        <v>71</v>
      </c>
      <c r="G1133" s="93" t="s">
        <v>2348</v>
      </c>
      <c r="H1133" s="16"/>
      <c r="K1133" s="14"/>
      <c r="L1133" s="32"/>
      <c r="M1133" s="14"/>
      <c r="N1133" s="14"/>
    </row>
    <row r="1134" spans="1:14" ht="173.25" hidden="1">
      <c r="A1134" s="105">
        <v>46050</v>
      </c>
      <c r="B1134" s="106" t="s">
        <v>75</v>
      </c>
      <c r="C1134" s="107" t="s">
        <v>780</v>
      </c>
      <c r="D1134" s="107" t="s">
        <v>1835</v>
      </c>
      <c r="E1134" s="106" t="s">
        <v>40</v>
      </c>
      <c r="F1134" s="106" t="s">
        <v>71</v>
      </c>
      <c r="G1134" s="93" t="s">
        <v>2349</v>
      </c>
      <c r="H1134" s="16"/>
      <c r="K1134" s="14"/>
      <c r="L1134" s="32"/>
      <c r="M1134" s="14"/>
      <c r="N1134" s="14"/>
    </row>
    <row r="1135" spans="1:14" ht="78.75" hidden="1">
      <c r="A1135" s="105">
        <v>46050</v>
      </c>
      <c r="B1135" s="106" t="s">
        <v>197</v>
      </c>
      <c r="C1135" s="107" t="s">
        <v>1376</v>
      </c>
      <c r="D1135" s="107" t="s">
        <v>1502</v>
      </c>
      <c r="E1135" s="106" t="s">
        <v>40</v>
      </c>
      <c r="F1135" s="106" t="s">
        <v>71</v>
      </c>
      <c r="G1135" s="93" t="s">
        <v>2350</v>
      </c>
      <c r="H1135" s="16"/>
      <c r="K1135" s="14"/>
      <c r="L1135" s="32"/>
      <c r="M1135" s="14"/>
      <c r="N1135" s="14"/>
    </row>
    <row r="1136" spans="1:14" ht="31.5" hidden="1">
      <c r="A1136" s="105">
        <v>46050</v>
      </c>
      <c r="B1136" s="106" t="s">
        <v>197</v>
      </c>
      <c r="C1136" s="107" t="s">
        <v>357</v>
      </c>
      <c r="D1136" s="107" t="s">
        <v>2344</v>
      </c>
      <c r="E1136" s="106" t="s">
        <v>41</v>
      </c>
      <c r="F1136" s="106" t="s">
        <v>77</v>
      </c>
      <c r="G1136" s="93" t="s">
        <v>2351</v>
      </c>
      <c r="H1136" s="16"/>
      <c r="K1136" s="14"/>
      <c r="L1136" s="32"/>
      <c r="M1136" s="14"/>
      <c r="N1136" s="14"/>
    </row>
    <row r="1137" spans="1:14" ht="47.25" hidden="1">
      <c r="A1137" s="105">
        <v>46050</v>
      </c>
      <c r="B1137" s="106" t="s">
        <v>76</v>
      </c>
      <c r="C1137" s="107" t="s">
        <v>1338</v>
      </c>
      <c r="D1137" s="107" t="s">
        <v>1389</v>
      </c>
      <c r="E1137" s="106" t="s">
        <v>41</v>
      </c>
      <c r="F1137" s="106" t="s">
        <v>77</v>
      </c>
      <c r="G1137" s="93" t="s">
        <v>2352</v>
      </c>
      <c r="H1137" s="16"/>
      <c r="K1137" s="14"/>
      <c r="L1137" s="32"/>
      <c r="M1137" s="14"/>
      <c r="N1137" s="14"/>
    </row>
    <row r="1138" spans="1:14" ht="31.5" hidden="1">
      <c r="A1138" s="105">
        <v>46050</v>
      </c>
      <c r="B1138" s="106" t="s">
        <v>75</v>
      </c>
      <c r="C1138" s="107" t="s">
        <v>2243</v>
      </c>
      <c r="D1138" s="107" t="s">
        <v>2334</v>
      </c>
      <c r="E1138" s="106" t="s">
        <v>41</v>
      </c>
      <c r="F1138" s="106" t="s">
        <v>71</v>
      </c>
      <c r="G1138" s="93" t="s">
        <v>2353</v>
      </c>
      <c r="H1138" s="16"/>
      <c r="K1138" s="14"/>
      <c r="L1138" s="32"/>
      <c r="M1138" s="14"/>
      <c r="N1138" s="14"/>
    </row>
    <row r="1139" spans="1:14" ht="47.25" hidden="1">
      <c r="A1139" s="105">
        <v>46051</v>
      </c>
      <c r="B1139" s="106" t="s">
        <v>76</v>
      </c>
      <c r="C1139" s="107" t="s">
        <v>1373</v>
      </c>
      <c r="D1139" s="107" t="s">
        <v>1573</v>
      </c>
      <c r="E1139" s="106" t="s">
        <v>40</v>
      </c>
      <c r="F1139" s="106" t="s">
        <v>77</v>
      </c>
      <c r="G1139" s="93" t="s">
        <v>2354</v>
      </c>
      <c r="H1139" s="16"/>
      <c r="K1139" s="14"/>
      <c r="L1139" s="32"/>
      <c r="M1139" s="14"/>
      <c r="N1139" s="14"/>
    </row>
    <row r="1140" spans="1:14" ht="47.25" hidden="1">
      <c r="A1140" s="105">
        <v>46051</v>
      </c>
      <c r="B1140" s="106" t="s">
        <v>76</v>
      </c>
      <c r="C1140" s="107" t="s">
        <v>407</v>
      </c>
      <c r="D1140" s="107" t="s">
        <v>423</v>
      </c>
      <c r="E1140" s="106" t="s">
        <v>40</v>
      </c>
      <c r="F1140" s="106" t="s">
        <v>71</v>
      </c>
      <c r="G1140" s="93" t="s">
        <v>2355</v>
      </c>
      <c r="H1140" s="16"/>
      <c r="K1140" s="14"/>
      <c r="L1140" s="32"/>
      <c r="M1140" s="14"/>
      <c r="N1140" s="14"/>
    </row>
    <row r="1141" spans="1:14" ht="78.75" hidden="1">
      <c r="A1141" s="105">
        <v>46051</v>
      </c>
      <c r="B1141" s="106" t="s">
        <v>76</v>
      </c>
      <c r="C1141" s="107" t="s">
        <v>1446</v>
      </c>
      <c r="D1141" s="107" t="s">
        <v>2039</v>
      </c>
      <c r="E1141" s="106" t="s">
        <v>40</v>
      </c>
      <c r="F1141" s="106" t="s">
        <v>71</v>
      </c>
      <c r="G1141" s="93" t="s">
        <v>2356</v>
      </c>
      <c r="H1141" s="16"/>
      <c r="K1141" s="14"/>
      <c r="L1141" s="32"/>
      <c r="M1141" s="14"/>
      <c r="N1141" s="14"/>
    </row>
    <row r="1142" spans="1:14" ht="31.5" hidden="1">
      <c r="A1142" s="105">
        <v>46051</v>
      </c>
      <c r="B1142" s="106" t="s">
        <v>197</v>
      </c>
      <c r="C1142" s="107" t="s">
        <v>1414</v>
      </c>
      <c r="D1142" s="107" t="s">
        <v>1518</v>
      </c>
      <c r="E1142" s="106" t="s">
        <v>41</v>
      </c>
      <c r="F1142" s="106" t="s">
        <v>77</v>
      </c>
      <c r="G1142" s="108" t="s">
        <v>2357</v>
      </c>
      <c r="H1142" s="16"/>
      <c r="K1142" s="14"/>
      <c r="L1142" s="32"/>
      <c r="M1142" s="14"/>
      <c r="N1142" s="14"/>
    </row>
    <row r="1143" spans="1:14" ht="31.5" hidden="1">
      <c r="A1143" s="105">
        <v>46051</v>
      </c>
      <c r="B1143" s="106" t="s">
        <v>197</v>
      </c>
      <c r="C1143" s="107" t="s">
        <v>979</v>
      </c>
      <c r="D1143" s="107" t="s">
        <v>1578</v>
      </c>
      <c r="E1143" s="106" t="s">
        <v>41</v>
      </c>
      <c r="F1143" s="106" t="s">
        <v>71</v>
      </c>
      <c r="G1143" s="93" t="s">
        <v>2358</v>
      </c>
      <c r="H1143" s="16"/>
      <c r="K1143" s="14"/>
      <c r="L1143" s="32"/>
      <c r="M1143" s="14"/>
      <c r="N1143" s="14"/>
    </row>
    <row r="1144" spans="1:14" hidden="1">
      <c r="A1144" s="105">
        <v>46051</v>
      </c>
      <c r="B1144" s="106" t="s">
        <v>197</v>
      </c>
      <c r="C1144" s="107" t="s">
        <v>1202</v>
      </c>
      <c r="D1144" s="107" t="s">
        <v>1860</v>
      </c>
      <c r="E1144" s="106" t="s">
        <v>41</v>
      </c>
      <c r="F1144" s="106" t="s">
        <v>71</v>
      </c>
      <c r="G1144" s="93" t="s">
        <v>2359</v>
      </c>
      <c r="H1144" s="16"/>
      <c r="K1144" s="14"/>
      <c r="L1144" s="32"/>
      <c r="M1144" s="14"/>
      <c r="N1144" s="14"/>
    </row>
    <row r="1145" spans="1:14" ht="31.5" hidden="1">
      <c r="A1145" s="105">
        <v>46051</v>
      </c>
      <c r="B1145" s="106" t="s">
        <v>197</v>
      </c>
      <c r="C1145" s="107" t="s">
        <v>1247</v>
      </c>
      <c r="D1145" s="107" t="s">
        <v>1795</v>
      </c>
      <c r="E1145" s="106" t="s">
        <v>41</v>
      </c>
      <c r="F1145" s="106" t="s">
        <v>71</v>
      </c>
      <c r="G1145" s="93" t="s">
        <v>2360</v>
      </c>
      <c r="H1145" s="16"/>
      <c r="K1145" s="14"/>
      <c r="L1145" s="32"/>
      <c r="M1145" s="14"/>
      <c r="N1145" s="14"/>
    </row>
    <row r="1146" spans="1:14" hidden="1">
      <c r="A1146" s="105">
        <v>46051</v>
      </c>
      <c r="B1146" s="106" t="s">
        <v>75</v>
      </c>
      <c r="C1146" s="107" t="s">
        <v>2284</v>
      </c>
      <c r="D1146" s="107" t="s">
        <v>1996</v>
      </c>
      <c r="E1146" s="106" t="s">
        <v>41</v>
      </c>
      <c r="F1146" s="106" t="s">
        <v>77</v>
      </c>
      <c r="G1146" s="93" t="s">
        <v>613</v>
      </c>
      <c r="H1146" s="16"/>
      <c r="K1146" s="14"/>
      <c r="L1146" s="32"/>
      <c r="M1146" s="14"/>
      <c r="N1146" s="14"/>
    </row>
    <row r="1147" spans="1:14" ht="94.5" hidden="1">
      <c r="A1147" s="105">
        <v>46052</v>
      </c>
      <c r="B1147" s="106" t="s">
        <v>75</v>
      </c>
      <c r="C1147" s="107" t="s">
        <v>1414</v>
      </c>
      <c r="D1147" s="107" t="s">
        <v>2266</v>
      </c>
      <c r="E1147" s="106" t="s">
        <v>40</v>
      </c>
      <c r="F1147" s="106" t="s">
        <v>71</v>
      </c>
      <c r="G1147" s="93" t="s">
        <v>2361</v>
      </c>
      <c r="H1147" s="16"/>
      <c r="K1147" s="14"/>
      <c r="L1147" s="32"/>
      <c r="M1147" s="14"/>
      <c r="N1147" s="14"/>
    </row>
    <row r="1148" spans="1:14" ht="94.5" hidden="1">
      <c r="A1148" s="105">
        <v>46052</v>
      </c>
      <c r="B1148" s="106" t="s">
        <v>197</v>
      </c>
      <c r="C1148" s="107" t="s">
        <v>1639</v>
      </c>
      <c r="D1148" s="107" t="s">
        <v>2286</v>
      </c>
      <c r="E1148" s="106" t="s">
        <v>40</v>
      </c>
      <c r="F1148" s="106" t="s">
        <v>71</v>
      </c>
      <c r="G1148" s="93" t="s">
        <v>2362</v>
      </c>
      <c r="H1148" s="16"/>
      <c r="K1148" s="14"/>
      <c r="L1148" s="32"/>
      <c r="M1148" s="14"/>
      <c r="N1148" s="14"/>
    </row>
    <row r="1149" spans="1:14" ht="63" hidden="1">
      <c r="A1149" s="105">
        <v>46052</v>
      </c>
      <c r="B1149" s="106" t="s">
        <v>76</v>
      </c>
      <c r="C1149" s="107" t="s">
        <v>408</v>
      </c>
      <c r="D1149" s="107" t="s">
        <v>2363</v>
      </c>
      <c r="E1149" s="106" t="s">
        <v>40</v>
      </c>
      <c r="F1149" s="106" t="s">
        <v>77</v>
      </c>
      <c r="G1149" s="93" t="s">
        <v>2364</v>
      </c>
      <c r="H1149" s="16"/>
      <c r="K1149" s="14"/>
      <c r="L1149" s="32"/>
      <c r="M1149" s="14"/>
      <c r="N1149" s="14"/>
    </row>
    <row r="1150" spans="1:14" ht="126" hidden="1">
      <c r="A1150" s="105">
        <v>46052</v>
      </c>
      <c r="B1150" s="106" t="s">
        <v>76</v>
      </c>
      <c r="C1150" s="107" t="s">
        <v>408</v>
      </c>
      <c r="D1150" s="107" t="s">
        <v>2232</v>
      </c>
      <c r="E1150" s="106" t="s">
        <v>40</v>
      </c>
      <c r="F1150" s="106" t="s">
        <v>71</v>
      </c>
      <c r="G1150" s="93" t="s">
        <v>2365</v>
      </c>
      <c r="H1150" s="16"/>
      <c r="K1150" s="14"/>
      <c r="L1150" s="32"/>
      <c r="M1150" s="14"/>
      <c r="N1150" s="14"/>
    </row>
    <row r="1151" spans="1:14" ht="47.25" hidden="1">
      <c r="A1151" s="105">
        <v>46052</v>
      </c>
      <c r="B1151" s="106" t="s">
        <v>75</v>
      </c>
      <c r="C1151" s="107" t="s">
        <v>2317</v>
      </c>
      <c r="D1151" s="107" t="s">
        <v>2366</v>
      </c>
      <c r="E1151" s="106" t="s">
        <v>41</v>
      </c>
      <c r="F1151" s="106" t="s">
        <v>64</v>
      </c>
      <c r="G1151" s="93" t="s">
        <v>2367</v>
      </c>
      <c r="H1151" s="16"/>
      <c r="K1151" s="14"/>
      <c r="L1151" s="32"/>
      <c r="M1151" s="14"/>
      <c r="N1151" s="14"/>
    </row>
    <row r="1152" spans="1:14" hidden="1">
      <c r="A1152" s="105">
        <v>46052</v>
      </c>
      <c r="B1152" s="106" t="s">
        <v>75</v>
      </c>
      <c r="C1152" s="107" t="s">
        <v>2317</v>
      </c>
      <c r="D1152" s="107" t="s">
        <v>2368</v>
      </c>
      <c r="E1152" s="106" t="s">
        <v>41</v>
      </c>
      <c r="F1152" s="106" t="s">
        <v>64</v>
      </c>
      <c r="G1152" s="93" t="s">
        <v>2369</v>
      </c>
      <c r="H1152" s="16"/>
      <c r="K1152" s="14"/>
      <c r="L1152" s="32"/>
      <c r="M1152" s="14"/>
      <c r="N1152" s="14"/>
    </row>
    <row r="1153" spans="1:14" hidden="1">
      <c r="A1153" s="105">
        <v>46052</v>
      </c>
      <c r="B1153" s="106" t="s">
        <v>75</v>
      </c>
      <c r="C1153" s="107" t="s">
        <v>2284</v>
      </c>
      <c r="D1153" s="107" t="s">
        <v>1996</v>
      </c>
      <c r="E1153" s="106" t="s">
        <v>41</v>
      </c>
      <c r="F1153" s="106" t="s">
        <v>77</v>
      </c>
      <c r="G1153" s="93" t="s">
        <v>613</v>
      </c>
      <c r="H1153" s="16"/>
      <c r="K1153" s="14"/>
      <c r="L1153" s="32"/>
      <c r="M1153" s="14"/>
      <c r="N1153" s="14"/>
    </row>
    <row r="1154" spans="1:14" ht="47.25" hidden="1">
      <c r="A1154" s="105">
        <v>46052</v>
      </c>
      <c r="B1154" s="106" t="s">
        <v>75</v>
      </c>
      <c r="C1154" s="107" t="s">
        <v>2243</v>
      </c>
      <c r="D1154" s="107" t="s">
        <v>2334</v>
      </c>
      <c r="E1154" s="106" t="s">
        <v>41</v>
      </c>
      <c r="F1154" s="106" t="s">
        <v>71</v>
      </c>
      <c r="G1154" s="93" t="s">
        <v>2370</v>
      </c>
      <c r="H1154" s="16"/>
      <c r="K1154" s="14"/>
      <c r="L1154" s="32"/>
      <c r="M1154" s="14"/>
      <c r="N1154" s="14"/>
    </row>
    <row r="1155" spans="1:14" hidden="1">
      <c r="A1155" s="105"/>
      <c r="B1155" s="106"/>
      <c r="C1155" s="107"/>
      <c r="D1155" s="107"/>
      <c r="E1155" s="106"/>
      <c r="F1155" s="106"/>
      <c r="G1155" s="93"/>
      <c r="H1155" s="16"/>
      <c r="K1155" s="14"/>
      <c r="L1155" s="32"/>
      <c r="M1155" s="14"/>
      <c r="N1155" s="14"/>
    </row>
    <row r="1156" spans="1:14" hidden="1"/>
    <row r="1157" spans="1:14" hidden="1">
      <c r="A1157" s="3" t="s">
        <v>70</v>
      </c>
      <c r="B1157" s="4" t="s">
        <v>72</v>
      </c>
      <c r="C1157" s="4" t="s">
        <v>16</v>
      </c>
      <c r="D1157" s="34" t="s">
        <v>155</v>
      </c>
      <c r="E1157" s="9" t="s">
        <v>156</v>
      </c>
      <c r="F1157" s="10" t="s">
        <v>157</v>
      </c>
    </row>
    <row r="1158" spans="1:14" hidden="1">
      <c r="A1158" s="135" t="s">
        <v>63</v>
      </c>
      <c r="B1158" s="99" t="s">
        <v>68</v>
      </c>
      <c r="C1158" s="99">
        <v>9</v>
      </c>
      <c r="D1158" s="99">
        <f>C1158</f>
        <v>9</v>
      </c>
      <c r="E1158" s="138">
        <f>D1158+D1160+D1162</f>
        <v>10.333333333333334</v>
      </c>
      <c r="F1158" s="141">
        <f>E1158/12</f>
        <v>0.86111111111111116</v>
      </c>
    </row>
    <row r="1159" spans="1:14" hidden="1">
      <c r="A1159" s="136"/>
      <c r="B1159" s="144" t="s">
        <v>65</v>
      </c>
      <c r="C1159" s="144">
        <v>4</v>
      </c>
      <c r="D1159" s="35" t="s">
        <v>158</v>
      </c>
      <c r="E1159" s="139"/>
      <c r="F1159" s="142"/>
    </row>
    <row r="1160" spans="1:14" hidden="1">
      <c r="A1160" s="136"/>
      <c r="B1160" s="145"/>
      <c r="C1160" s="145"/>
      <c r="D1160" s="16">
        <f>C1159/3</f>
        <v>1.3333333333333333</v>
      </c>
      <c r="E1160" s="139"/>
      <c r="F1160" s="142"/>
    </row>
    <row r="1161" spans="1:14" hidden="1">
      <c r="A1161" s="136"/>
      <c r="B1161" s="144" t="s">
        <v>69</v>
      </c>
      <c r="C1161" s="144">
        <v>10</v>
      </c>
      <c r="D1161" s="35" t="s">
        <v>159</v>
      </c>
      <c r="E1161" s="139"/>
      <c r="F1161" s="142"/>
    </row>
    <row r="1162" spans="1:14" hidden="1">
      <c r="A1162" s="137"/>
      <c r="B1162" s="145"/>
      <c r="C1162" s="145"/>
      <c r="D1162" s="16">
        <v>0</v>
      </c>
      <c r="E1162" s="140"/>
      <c r="F1162" s="143"/>
    </row>
    <row r="1163" spans="1:14" hidden="1">
      <c r="A1163" s="36" t="s">
        <v>70</v>
      </c>
      <c r="B1163" s="37" t="s">
        <v>72</v>
      </c>
      <c r="C1163" s="37" t="s">
        <v>16</v>
      </c>
      <c r="D1163" s="146" t="s">
        <v>160</v>
      </c>
      <c r="E1163" s="147"/>
      <c r="F1163" s="148"/>
    </row>
    <row r="1164" spans="1:14" hidden="1">
      <c r="A1164" s="149" t="s">
        <v>62</v>
      </c>
      <c r="B1164" s="16" t="s">
        <v>68</v>
      </c>
      <c r="C1164" s="16">
        <v>13</v>
      </c>
      <c r="D1164" s="151">
        <f>C1164/9</f>
        <v>1.4444444444444444</v>
      </c>
      <c r="E1164" s="152"/>
      <c r="F1164" s="153"/>
    </row>
    <row r="1165" spans="1:14" ht="16.5" hidden="1" thickBot="1">
      <c r="A1165" s="150"/>
      <c r="B1165" s="20" t="s">
        <v>69</v>
      </c>
      <c r="C1165" s="20">
        <v>3</v>
      </c>
      <c r="D1165" s="154"/>
      <c r="E1165" s="155"/>
      <c r="F1165" s="156"/>
    </row>
    <row r="1166" spans="1:14" hidden="1"/>
    <row r="1167" spans="1:14" hidden="1">
      <c r="A1167" t="s">
        <v>2371</v>
      </c>
    </row>
    <row r="1168" spans="1:14" hidden="1">
      <c r="A1168" s="37" t="s">
        <v>58</v>
      </c>
      <c r="B1168" s="37" t="s">
        <v>67</v>
      </c>
      <c r="C1168" s="37" t="s">
        <v>3</v>
      </c>
      <c r="D1168" s="37" t="s">
        <v>57</v>
      </c>
      <c r="E1168" s="37" t="s">
        <v>59</v>
      </c>
      <c r="F1168" s="37" t="s">
        <v>61</v>
      </c>
      <c r="G1168" s="37" t="s">
        <v>60</v>
      </c>
      <c r="H1168" s="37" t="s">
        <v>66</v>
      </c>
      <c r="K1168" s="14"/>
      <c r="L1168" s="14"/>
      <c r="M1168" s="32"/>
      <c r="N1168" s="14"/>
    </row>
    <row r="1169" spans="1:19" ht="94.5" hidden="1">
      <c r="A1169" s="113">
        <v>46055</v>
      </c>
      <c r="B1169" s="17" t="s">
        <v>75</v>
      </c>
      <c r="C1169" s="114" t="s">
        <v>1230</v>
      </c>
      <c r="D1169" s="114" t="s">
        <v>2001</v>
      </c>
      <c r="E1169" s="17" t="s">
        <v>40</v>
      </c>
      <c r="F1169" s="17" t="s">
        <v>71</v>
      </c>
      <c r="G1169" s="114" t="s">
        <v>2372</v>
      </c>
      <c r="H1169" s="17"/>
      <c r="K1169" s="14"/>
      <c r="L1169" s="14"/>
      <c r="M1169" s="14"/>
      <c r="N1169" s="14"/>
    </row>
    <row r="1170" spans="1:19" ht="78.75" hidden="1">
      <c r="A1170" s="113">
        <v>46055</v>
      </c>
      <c r="B1170" s="17" t="s">
        <v>76</v>
      </c>
      <c r="C1170" s="114" t="s">
        <v>1338</v>
      </c>
      <c r="D1170" s="114" t="s">
        <v>2001</v>
      </c>
      <c r="E1170" s="17" t="s">
        <v>41</v>
      </c>
      <c r="F1170" s="17" t="s">
        <v>71</v>
      </c>
      <c r="G1170" s="114" t="s">
        <v>2373</v>
      </c>
      <c r="H1170" s="17"/>
      <c r="K1170" s="14"/>
      <c r="L1170" s="14"/>
      <c r="M1170" s="14"/>
      <c r="N1170" s="14"/>
    </row>
    <row r="1171" spans="1:19" hidden="1">
      <c r="A1171" s="113">
        <v>46055</v>
      </c>
      <c r="B1171" s="17" t="s">
        <v>75</v>
      </c>
      <c r="C1171" s="114" t="s">
        <v>2284</v>
      </c>
      <c r="D1171" s="114" t="s">
        <v>1996</v>
      </c>
      <c r="E1171" s="17" t="s">
        <v>41</v>
      </c>
      <c r="F1171" s="17" t="s">
        <v>77</v>
      </c>
      <c r="G1171" s="114" t="s">
        <v>1385</v>
      </c>
      <c r="H1171" s="17"/>
      <c r="K1171" s="14"/>
      <c r="L1171" s="14"/>
      <c r="M1171" s="14"/>
      <c r="N1171" s="14"/>
    </row>
    <row r="1172" spans="1:19" ht="63" hidden="1">
      <c r="A1172" s="113">
        <v>46056</v>
      </c>
      <c r="B1172" s="17" t="s">
        <v>75</v>
      </c>
      <c r="C1172" s="114" t="s">
        <v>2317</v>
      </c>
      <c r="D1172" s="114" t="s">
        <v>2366</v>
      </c>
      <c r="E1172" s="17" t="s">
        <v>40</v>
      </c>
      <c r="F1172" s="17" t="s">
        <v>71</v>
      </c>
      <c r="G1172" s="114" t="s">
        <v>2374</v>
      </c>
      <c r="H1172" s="17"/>
      <c r="K1172" s="14"/>
      <c r="L1172" s="32"/>
      <c r="M1172" s="14"/>
      <c r="N1172" s="14"/>
    </row>
    <row r="1173" spans="1:19" ht="31.5" hidden="1">
      <c r="A1173" s="113">
        <v>46056</v>
      </c>
      <c r="B1173" s="17" t="s">
        <v>197</v>
      </c>
      <c r="C1173" s="114" t="s">
        <v>2314</v>
      </c>
      <c r="D1173" s="114" t="s">
        <v>1455</v>
      </c>
      <c r="E1173" s="17" t="s">
        <v>41</v>
      </c>
      <c r="F1173" s="17" t="s">
        <v>71</v>
      </c>
      <c r="G1173" s="114" t="s">
        <v>2375</v>
      </c>
      <c r="H1173" s="17"/>
      <c r="K1173" s="14"/>
      <c r="L1173" s="32"/>
      <c r="M1173" s="14"/>
      <c r="N1173" s="32"/>
    </row>
    <row r="1174" spans="1:19" hidden="1">
      <c r="A1174" s="113">
        <v>46056</v>
      </c>
      <c r="B1174" s="17" t="s">
        <v>75</v>
      </c>
      <c r="C1174" s="114" t="s">
        <v>2317</v>
      </c>
      <c r="D1174" s="114" t="s">
        <v>2366</v>
      </c>
      <c r="E1174" s="17" t="s">
        <v>41</v>
      </c>
      <c r="F1174" s="17" t="s">
        <v>71</v>
      </c>
      <c r="G1174" s="114" t="s">
        <v>2376</v>
      </c>
      <c r="H1174" s="17"/>
      <c r="K1174" s="14"/>
      <c r="L1174" s="32"/>
      <c r="M1174" s="14"/>
      <c r="N1174" s="32"/>
    </row>
    <row r="1175" spans="1:19" ht="31.5" hidden="1">
      <c r="A1175" s="113">
        <v>46056</v>
      </c>
      <c r="B1175" s="17" t="s">
        <v>75</v>
      </c>
      <c r="C1175" s="114" t="s">
        <v>2284</v>
      </c>
      <c r="D1175" s="114" t="s">
        <v>1996</v>
      </c>
      <c r="E1175" s="17" t="s">
        <v>41</v>
      </c>
      <c r="F1175" s="17" t="s">
        <v>77</v>
      </c>
      <c r="G1175" s="114" t="s">
        <v>2377</v>
      </c>
      <c r="H1175" s="17"/>
      <c r="K1175" s="14"/>
      <c r="L1175" s="46"/>
      <c r="R1175" s="115"/>
    </row>
    <row r="1176" spans="1:19" hidden="1">
      <c r="A1176" s="113">
        <v>46056</v>
      </c>
      <c r="B1176" s="17" t="s">
        <v>75</v>
      </c>
      <c r="C1176" s="114" t="s">
        <v>25</v>
      </c>
      <c r="D1176" s="114" t="s">
        <v>164</v>
      </c>
      <c r="E1176" s="17" t="s">
        <v>41</v>
      </c>
      <c r="F1176" s="17" t="s">
        <v>77</v>
      </c>
      <c r="G1176" s="114" t="s">
        <v>1385</v>
      </c>
      <c r="H1176" s="17"/>
      <c r="K1176" s="14"/>
      <c r="L1176" s="46"/>
      <c r="R1176" s="115"/>
    </row>
    <row r="1177" spans="1:19" hidden="1">
      <c r="A1177" s="113">
        <v>46056</v>
      </c>
      <c r="B1177" s="17" t="s">
        <v>75</v>
      </c>
      <c r="C1177" s="114" t="s">
        <v>56</v>
      </c>
      <c r="D1177" s="114" t="s">
        <v>2378</v>
      </c>
      <c r="E1177" s="17" t="s">
        <v>41</v>
      </c>
      <c r="F1177" s="17" t="s">
        <v>64</v>
      </c>
      <c r="G1177" s="114" t="s">
        <v>65</v>
      </c>
      <c r="H1177" s="17"/>
      <c r="K1177" s="14"/>
      <c r="L1177" s="46"/>
    </row>
    <row r="1178" spans="1:19" hidden="1">
      <c r="A1178" s="113">
        <v>46056</v>
      </c>
      <c r="B1178" s="17" t="s">
        <v>75</v>
      </c>
      <c r="C1178" s="114" t="s">
        <v>74</v>
      </c>
      <c r="D1178" s="114" t="s">
        <v>422</v>
      </c>
      <c r="E1178" s="17" t="s">
        <v>41</v>
      </c>
      <c r="F1178" s="17" t="s">
        <v>64</v>
      </c>
      <c r="G1178" s="114" t="s">
        <v>1385</v>
      </c>
      <c r="H1178" s="17"/>
      <c r="K1178" s="14"/>
      <c r="L1178" s="46"/>
    </row>
    <row r="1179" spans="1:19" ht="63" hidden="1">
      <c r="A1179" s="113">
        <v>46058</v>
      </c>
      <c r="B1179" s="17" t="s">
        <v>75</v>
      </c>
      <c r="C1179" s="114" t="s">
        <v>74</v>
      </c>
      <c r="D1179" s="114" t="s">
        <v>422</v>
      </c>
      <c r="E1179" s="17" t="s">
        <v>40</v>
      </c>
      <c r="F1179" s="17" t="s">
        <v>77</v>
      </c>
      <c r="G1179" s="114" t="s">
        <v>2379</v>
      </c>
      <c r="H1179" s="17"/>
      <c r="K1179" s="14"/>
      <c r="L1179" s="46"/>
    </row>
    <row r="1180" spans="1:19" ht="63" hidden="1">
      <c r="A1180" s="113">
        <v>46058</v>
      </c>
      <c r="B1180" s="17" t="s">
        <v>75</v>
      </c>
      <c r="C1180" s="114" t="s">
        <v>56</v>
      </c>
      <c r="D1180" s="114" t="s">
        <v>2378</v>
      </c>
      <c r="E1180" s="17" t="s">
        <v>40</v>
      </c>
      <c r="F1180" s="17" t="s">
        <v>71</v>
      </c>
      <c r="G1180" s="114" t="s">
        <v>2380</v>
      </c>
      <c r="H1180" s="17"/>
      <c r="K1180" s="14"/>
      <c r="L1180" s="46"/>
    </row>
    <row r="1181" spans="1:19" s="110" customFormat="1" ht="31.5" hidden="1">
      <c r="A1181" s="113">
        <v>46058</v>
      </c>
      <c r="B1181" s="17" t="s">
        <v>75</v>
      </c>
      <c r="C1181" s="114" t="s">
        <v>2381</v>
      </c>
      <c r="D1181" s="114" t="s">
        <v>2382</v>
      </c>
      <c r="E1181" s="17" t="s">
        <v>41</v>
      </c>
      <c r="F1181" s="17" t="s">
        <v>71</v>
      </c>
      <c r="G1181" s="17" t="s">
        <v>2383</v>
      </c>
      <c r="H1181" s="116"/>
      <c r="K1181" s="111"/>
      <c r="L1181" s="46"/>
      <c r="M1181"/>
      <c r="N1181"/>
      <c r="O1181"/>
      <c r="P1181"/>
      <c r="Q1181"/>
      <c r="R1181"/>
      <c r="S1181"/>
    </row>
    <row r="1182" spans="1:19" ht="47.25" hidden="1">
      <c r="A1182" s="113">
        <v>46058</v>
      </c>
      <c r="B1182" s="17" t="s">
        <v>197</v>
      </c>
      <c r="C1182" s="114" t="s">
        <v>1639</v>
      </c>
      <c r="D1182" s="114" t="s">
        <v>2384</v>
      </c>
      <c r="E1182" s="17" t="s">
        <v>41</v>
      </c>
      <c r="F1182" s="17" t="s">
        <v>71</v>
      </c>
      <c r="G1182" s="114" t="s">
        <v>2385</v>
      </c>
      <c r="H1182" s="17"/>
      <c r="K1182" s="14"/>
      <c r="L1182" s="46"/>
    </row>
    <row r="1183" spans="1:19" hidden="1">
      <c r="A1183" s="113">
        <v>46058</v>
      </c>
      <c r="B1183" s="17" t="s">
        <v>75</v>
      </c>
      <c r="C1183" s="114" t="s">
        <v>477</v>
      </c>
      <c r="D1183" s="114" t="s">
        <v>334</v>
      </c>
      <c r="E1183" s="17" t="s">
        <v>41</v>
      </c>
      <c r="F1183" s="17" t="s">
        <v>77</v>
      </c>
      <c r="G1183" s="114" t="s">
        <v>613</v>
      </c>
      <c r="H1183" s="17"/>
      <c r="K1183" s="14"/>
      <c r="L1183" s="46"/>
    </row>
    <row r="1184" spans="1:19" ht="31.5" hidden="1">
      <c r="A1184" s="113">
        <v>46059</v>
      </c>
      <c r="B1184" s="17" t="s">
        <v>197</v>
      </c>
      <c r="C1184" s="114" t="s">
        <v>2314</v>
      </c>
      <c r="D1184" s="114" t="s">
        <v>2386</v>
      </c>
      <c r="E1184" s="17" t="s">
        <v>41</v>
      </c>
      <c r="F1184" s="17" t="s">
        <v>71</v>
      </c>
      <c r="G1184" s="114" t="s">
        <v>2387</v>
      </c>
      <c r="H1184" s="17"/>
      <c r="K1184" s="14"/>
      <c r="L1184" s="46"/>
    </row>
    <row r="1185" spans="1:19" hidden="1">
      <c r="A1185" s="117">
        <v>46059</v>
      </c>
      <c r="B1185" s="17" t="s">
        <v>197</v>
      </c>
      <c r="C1185" s="114" t="s">
        <v>477</v>
      </c>
      <c r="D1185" s="114" t="s">
        <v>2388</v>
      </c>
      <c r="E1185" s="17" t="s">
        <v>41</v>
      </c>
      <c r="F1185" s="17" t="s">
        <v>77</v>
      </c>
      <c r="G1185" s="114" t="s">
        <v>1548</v>
      </c>
      <c r="H1185" s="17"/>
      <c r="K1185" s="14"/>
      <c r="L1185" s="46"/>
      <c r="S1185" s="46"/>
    </row>
    <row r="1186" spans="1:19" ht="195.95" hidden="1" customHeight="1">
      <c r="A1186" s="113">
        <v>46059</v>
      </c>
      <c r="B1186" s="16" t="s">
        <v>75</v>
      </c>
      <c r="C1186" s="118" t="s">
        <v>1452</v>
      </c>
      <c r="D1186" s="118" t="s">
        <v>2022</v>
      </c>
      <c r="E1186" s="16" t="s">
        <v>41</v>
      </c>
      <c r="F1186" s="16" t="s">
        <v>71</v>
      </c>
      <c r="G1186" s="114" t="s">
        <v>2389</v>
      </c>
      <c r="H1186" s="16"/>
      <c r="K1186" s="14"/>
      <c r="L1186" s="46"/>
    </row>
    <row r="1187" spans="1:19" hidden="1">
      <c r="A1187" s="113">
        <v>46059</v>
      </c>
      <c r="B1187" s="16" t="s">
        <v>76</v>
      </c>
      <c r="C1187" s="118" t="s">
        <v>1338</v>
      </c>
      <c r="D1187" s="118" t="s">
        <v>1550</v>
      </c>
      <c r="E1187" s="16" t="s">
        <v>41</v>
      </c>
      <c r="F1187" s="16" t="s">
        <v>71</v>
      </c>
      <c r="G1187" s="114" t="s">
        <v>2390</v>
      </c>
      <c r="H1187" s="16"/>
      <c r="K1187" s="14"/>
      <c r="L1187" s="46"/>
    </row>
    <row r="1188" spans="1:19" hidden="1">
      <c r="A1188" s="102">
        <v>46059</v>
      </c>
      <c r="B1188" s="16" t="s">
        <v>75</v>
      </c>
      <c r="C1188" s="118" t="s">
        <v>25</v>
      </c>
      <c r="D1188" s="118" t="s">
        <v>2391</v>
      </c>
      <c r="E1188" s="16" t="s">
        <v>41</v>
      </c>
      <c r="F1188" s="16" t="s">
        <v>77</v>
      </c>
      <c r="G1188" s="114" t="s">
        <v>1385</v>
      </c>
      <c r="H1188" s="16"/>
      <c r="K1188" s="14"/>
      <c r="L1188" s="46"/>
    </row>
    <row r="1189" spans="1:19" hidden="1">
      <c r="A1189" s="102"/>
      <c r="B1189" s="16"/>
      <c r="C1189" s="118"/>
      <c r="D1189" s="118"/>
      <c r="E1189" s="16"/>
      <c r="F1189" s="16"/>
      <c r="G1189" s="114"/>
      <c r="H1189" s="16"/>
      <c r="K1189" s="14"/>
      <c r="L1189" s="46"/>
    </row>
    <row r="1190" spans="1:19" hidden="1">
      <c r="A1190" s="105"/>
      <c r="B1190" s="106"/>
      <c r="C1190" s="107"/>
      <c r="D1190" s="107"/>
      <c r="E1190" s="106"/>
      <c r="F1190" s="106"/>
      <c r="G1190" s="93"/>
      <c r="H1190" s="16"/>
      <c r="K1190" s="14"/>
    </row>
    <row r="1191" spans="1:19" hidden="1">
      <c r="A1191" s="105"/>
      <c r="B1191" s="106"/>
      <c r="C1191" s="107"/>
      <c r="D1191" s="107"/>
      <c r="E1191" s="106"/>
      <c r="F1191" s="106"/>
      <c r="G1191" s="93"/>
      <c r="H1191" s="16"/>
      <c r="K1191" s="14"/>
    </row>
    <row r="1192" spans="1:19" hidden="1">
      <c r="A1192" s="105"/>
      <c r="B1192" s="106"/>
      <c r="C1192" s="107"/>
      <c r="D1192" s="107"/>
      <c r="E1192" s="106"/>
      <c r="F1192" s="106"/>
      <c r="G1192" s="93"/>
      <c r="H1192" s="16"/>
      <c r="K1192" s="14"/>
    </row>
    <row r="1193" spans="1:19" hidden="1">
      <c r="A1193" s="105"/>
      <c r="B1193" s="106"/>
      <c r="C1193" s="107"/>
      <c r="D1193" s="107"/>
      <c r="E1193" s="106"/>
      <c r="F1193" s="106"/>
      <c r="G1193" s="93"/>
      <c r="H1193" s="16"/>
      <c r="K1193" s="14"/>
      <c r="L1193" s="32"/>
      <c r="M1193" s="14"/>
      <c r="N1193" s="14"/>
    </row>
    <row r="1194" spans="1:19" hidden="1">
      <c r="A1194" s="105"/>
      <c r="B1194" s="106"/>
      <c r="C1194" s="107"/>
      <c r="D1194" s="107"/>
      <c r="E1194" s="106"/>
      <c r="F1194" s="106"/>
      <c r="G1194" s="93"/>
      <c r="H1194" s="16"/>
      <c r="K1194" s="14"/>
      <c r="L1194" s="32"/>
      <c r="M1194" s="14"/>
      <c r="N1194" s="14"/>
    </row>
    <row r="1195" spans="1:19" hidden="1">
      <c r="A1195" s="105"/>
      <c r="B1195" s="106"/>
      <c r="C1195" s="107"/>
      <c r="D1195" s="107"/>
      <c r="E1195" s="106"/>
      <c r="F1195" s="106"/>
      <c r="G1195" s="108"/>
      <c r="H1195" s="16"/>
      <c r="K1195" s="14"/>
      <c r="L1195" s="32"/>
      <c r="M1195" s="14"/>
      <c r="N1195" s="14"/>
    </row>
    <row r="1196" spans="1:19" hidden="1">
      <c r="A1196" s="105"/>
      <c r="B1196" s="106"/>
      <c r="C1196" s="107"/>
      <c r="D1196" s="107"/>
      <c r="E1196" s="106"/>
      <c r="F1196" s="106"/>
      <c r="G1196" s="93"/>
      <c r="H1196" s="16"/>
      <c r="K1196" s="14"/>
      <c r="L1196" s="32"/>
      <c r="M1196" s="14"/>
      <c r="N1196" s="14"/>
    </row>
    <row r="1197" spans="1:19" hidden="1">
      <c r="A1197" s="105"/>
      <c r="B1197" s="106"/>
      <c r="C1197" s="107"/>
      <c r="D1197" s="107"/>
      <c r="E1197" s="106"/>
      <c r="F1197" s="106"/>
      <c r="G1197" s="93"/>
      <c r="H1197" s="16"/>
      <c r="K1197" s="14"/>
      <c r="L1197" s="32"/>
      <c r="M1197" s="14"/>
      <c r="N1197" s="14"/>
    </row>
    <row r="1198" spans="1:19" hidden="1">
      <c r="A1198" s="105"/>
      <c r="B1198" s="106"/>
      <c r="C1198" s="107"/>
      <c r="D1198" s="107"/>
      <c r="E1198" s="106"/>
      <c r="F1198" s="106"/>
      <c r="G1198" s="93"/>
      <c r="H1198" s="16"/>
      <c r="K1198" s="14"/>
      <c r="L1198" s="32"/>
      <c r="M1198" s="14"/>
      <c r="N1198" s="14"/>
    </row>
    <row r="1199" spans="1:19" hidden="1">
      <c r="A1199" s="105"/>
      <c r="B1199" s="106"/>
      <c r="C1199" s="107"/>
      <c r="D1199" s="107"/>
      <c r="E1199" s="106"/>
      <c r="F1199" s="106"/>
      <c r="G1199" s="93"/>
      <c r="H1199" s="16"/>
      <c r="K1199" s="14"/>
      <c r="L1199" s="32"/>
      <c r="M1199" s="14"/>
      <c r="N1199" s="14"/>
    </row>
    <row r="1200" spans="1:19" hidden="1">
      <c r="A1200" s="105"/>
      <c r="B1200" s="106"/>
      <c r="C1200" s="107"/>
      <c r="D1200" s="107"/>
      <c r="E1200" s="106"/>
      <c r="F1200" s="106"/>
      <c r="G1200" s="93"/>
      <c r="H1200" s="16"/>
      <c r="K1200" s="14"/>
      <c r="L1200" s="32"/>
      <c r="M1200" s="14"/>
      <c r="N1200" s="14"/>
    </row>
    <row r="1201" spans="1:14" hidden="1">
      <c r="A1201" s="105"/>
      <c r="B1201" s="106"/>
      <c r="C1201" s="107"/>
      <c r="D1201" s="107"/>
      <c r="E1201" s="106"/>
      <c r="F1201" s="106"/>
      <c r="G1201" s="93"/>
      <c r="H1201" s="16"/>
      <c r="K1201" s="14"/>
      <c r="L1201" s="32"/>
      <c r="M1201" s="14"/>
      <c r="N1201" s="14"/>
    </row>
    <row r="1202" spans="1:14" hidden="1">
      <c r="A1202" s="105"/>
      <c r="B1202" s="106"/>
      <c r="C1202" s="107"/>
      <c r="D1202" s="107"/>
      <c r="E1202" s="106"/>
      <c r="F1202" s="106"/>
      <c r="G1202" s="93"/>
      <c r="H1202" s="16"/>
      <c r="K1202" s="14"/>
      <c r="L1202" s="32"/>
      <c r="M1202" s="14"/>
      <c r="N1202" s="14"/>
    </row>
    <row r="1203" spans="1:14" hidden="1">
      <c r="A1203" s="105"/>
      <c r="B1203" s="106"/>
      <c r="C1203" s="107"/>
      <c r="D1203" s="107"/>
      <c r="E1203" s="106"/>
      <c r="F1203" s="106"/>
      <c r="G1203" s="93"/>
      <c r="H1203" s="16"/>
      <c r="K1203" s="14"/>
      <c r="L1203" s="32"/>
      <c r="M1203" s="14"/>
      <c r="N1203" s="14"/>
    </row>
    <row r="1204" spans="1:14" hidden="1">
      <c r="A1204" s="105"/>
      <c r="B1204" s="106"/>
      <c r="C1204" s="107"/>
      <c r="D1204" s="107"/>
      <c r="E1204" s="106"/>
      <c r="F1204" s="106"/>
      <c r="G1204" s="93"/>
      <c r="H1204" s="16"/>
      <c r="K1204" s="14"/>
      <c r="L1204" s="32"/>
      <c r="M1204" s="14"/>
      <c r="N1204" s="14"/>
    </row>
    <row r="1205" spans="1:14" hidden="1">
      <c r="A1205" s="105"/>
      <c r="B1205" s="106"/>
      <c r="C1205" s="107"/>
      <c r="D1205" s="107"/>
      <c r="E1205" s="106"/>
      <c r="F1205" s="106"/>
      <c r="G1205" s="93"/>
      <c r="H1205" s="16"/>
      <c r="K1205" s="14"/>
      <c r="L1205" s="32"/>
      <c r="M1205" s="14"/>
      <c r="N1205" s="14"/>
    </row>
    <row r="1206" spans="1:14" hidden="1">
      <c r="A1206" s="105"/>
      <c r="B1206" s="106"/>
      <c r="C1206" s="107"/>
      <c r="D1206" s="107"/>
      <c r="E1206" s="106"/>
      <c r="F1206" s="106"/>
      <c r="G1206" s="93"/>
      <c r="H1206" s="16"/>
      <c r="K1206" s="14"/>
      <c r="L1206" s="32"/>
      <c r="M1206" s="14"/>
      <c r="N1206" s="14"/>
    </row>
    <row r="1207" spans="1:14" hidden="1">
      <c r="A1207" s="105"/>
      <c r="B1207" s="106"/>
      <c r="C1207" s="107"/>
      <c r="D1207" s="107"/>
      <c r="E1207" s="106"/>
      <c r="F1207" s="106"/>
      <c r="G1207" s="93"/>
      <c r="H1207" s="16"/>
      <c r="K1207" s="14"/>
      <c r="L1207" s="32"/>
      <c r="M1207" s="14"/>
      <c r="N1207" s="14"/>
    </row>
    <row r="1208" spans="1:14" hidden="1">
      <c r="A1208" s="105"/>
      <c r="B1208" s="106"/>
      <c r="C1208" s="107"/>
      <c r="D1208" s="107"/>
      <c r="E1208" s="106"/>
      <c r="F1208" s="106"/>
      <c r="G1208" s="93"/>
      <c r="H1208" s="16"/>
      <c r="K1208" s="14"/>
      <c r="L1208" s="32"/>
      <c r="M1208" s="14"/>
      <c r="N1208" s="14"/>
    </row>
    <row r="1209" spans="1:14" hidden="1"/>
    <row r="1210" spans="1:14" hidden="1">
      <c r="A1210" s="3" t="s">
        <v>70</v>
      </c>
      <c r="B1210" s="4" t="s">
        <v>72</v>
      </c>
      <c r="C1210" s="4" t="s">
        <v>16</v>
      </c>
      <c r="D1210" s="34" t="s">
        <v>155</v>
      </c>
      <c r="E1210" s="9" t="s">
        <v>156</v>
      </c>
      <c r="F1210" s="10" t="s">
        <v>157</v>
      </c>
    </row>
    <row r="1211" spans="1:14" hidden="1">
      <c r="A1211" s="135" t="s">
        <v>63</v>
      </c>
      <c r="B1211" s="99" t="s">
        <v>68</v>
      </c>
      <c r="C1211" s="99">
        <v>8</v>
      </c>
      <c r="D1211" s="99">
        <f>C1211</f>
        <v>8</v>
      </c>
      <c r="E1211" s="138">
        <f>D1211+D1213+D1215</f>
        <v>8.6666666666666661</v>
      </c>
      <c r="F1211" s="141">
        <f>E1211/12</f>
        <v>0.72222222222222221</v>
      </c>
    </row>
    <row r="1212" spans="1:14" hidden="1">
      <c r="A1212" s="136"/>
      <c r="B1212" s="144" t="s">
        <v>65</v>
      </c>
      <c r="C1212" s="144">
        <v>2</v>
      </c>
      <c r="D1212" s="35" t="s">
        <v>158</v>
      </c>
      <c r="E1212" s="139"/>
      <c r="F1212" s="142"/>
    </row>
    <row r="1213" spans="1:14" hidden="1">
      <c r="A1213" s="136"/>
      <c r="B1213" s="145"/>
      <c r="C1213" s="145"/>
      <c r="D1213" s="16">
        <f>C1212/3</f>
        <v>0.66666666666666663</v>
      </c>
      <c r="E1213" s="139"/>
      <c r="F1213" s="142"/>
    </row>
    <row r="1214" spans="1:14" hidden="1">
      <c r="A1214" s="136"/>
      <c r="B1214" s="144" t="s">
        <v>69</v>
      </c>
      <c r="C1214" s="144">
        <v>6</v>
      </c>
      <c r="D1214" s="35" t="s">
        <v>159</v>
      </c>
      <c r="E1214" s="139"/>
      <c r="F1214" s="142"/>
    </row>
    <row r="1215" spans="1:14" hidden="1">
      <c r="A1215" s="137"/>
      <c r="B1215" s="145"/>
      <c r="C1215" s="145"/>
      <c r="D1215" s="16">
        <v>0</v>
      </c>
      <c r="E1215" s="140"/>
      <c r="F1215" s="143"/>
    </row>
    <row r="1216" spans="1:14" hidden="1">
      <c r="A1216" s="36" t="s">
        <v>70</v>
      </c>
      <c r="B1216" s="37" t="s">
        <v>72</v>
      </c>
      <c r="C1216" s="37" t="s">
        <v>16</v>
      </c>
      <c r="D1216" s="146" t="s">
        <v>160</v>
      </c>
      <c r="E1216" s="147"/>
      <c r="F1216" s="148"/>
    </row>
    <row r="1217" spans="1:18" hidden="1">
      <c r="A1217" s="149" t="s">
        <v>62</v>
      </c>
      <c r="B1217" s="16" t="s">
        <v>68</v>
      </c>
      <c r="C1217" s="16">
        <v>3</v>
      </c>
      <c r="D1217" s="151">
        <f>C1217/9</f>
        <v>0.33333333333333331</v>
      </c>
      <c r="E1217" s="152"/>
      <c r="F1217" s="153"/>
    </row>
    <row r="1218" spans="1:18" ht="16.5" hidden="1" thickBot="1">
      <c r="A1218" s="150"/>
      <c r="B1218" s="20" t="s">
        <v>69</v>
      </c>
      <c r="C1218" s="20">
        <v>1</v>
      </c>
      <c r="D1218" s="154"/>
      <c r="E1218" s="155"/>
      <c r="F1218" s="156"/>
    </row>
    <row r="1219" spans="1:18" hidden="1"/>
    <row r="1220" spans="1:18" hidden="1">
      <c r="A1220" t="s">
        <v>2392</v>
      </c>
    </row>
    <row r="1221" spans="1:18" hidden="1">
      <c r="A1221" s="37" t="s">
        <v>58</v>
      </c>
      <c r="B1221" s="37" t="s">
        <v>67</v>
      </c>
      <c r="C1221" s="37" t="s">
        <v>3</v>
      </c>
      <c r="D1221" s="37" t="s">
        <v>57</v>
      </c>
      <c r="E1221" s="37" t="s">
        <v>59</v>
      </c>
      <c r="F1221" s="37" t="s">
        <v>61</v>
      </c>
      <c r="G1221" s="37" t="s">
        <v>60</v>
      </c>
      <c r="H1221" s="37" t="s">
        <v>66</v>
      </c>
      <c r="K1221" s="14"/>
      <c r="L1221" s="14"/>
      <c r="M1221" s="32"/>
      <c r="N1221" s="14"/>
    </row>
    <row r="1222" spans="1:18" ht="63" hidden="1">
      <c r="A1222" s="113">
        <v>46062</v>
      </c>
      <c r="B1222" s="17" t="s">
        <v>75</v>
      </c>
      <c r="C1222" s="114" t="s">
        <v>2317</v>
      </c>
      <c r="D1222" s="114" t="s">
        <v>2368</v>
      </c>
      <c r="E1222" s="17" t="s">
        <v>41</v>
      </c>
      <c r="F1222" s="17" t="s">
        <v>77</v>
      </c>
      <c r="G1222" s="114" t="s">
        <v>2393</v>
      </c>
      <c r="H1222" s="17"/>
      <c r="K1222" s="14"/>
      <c r="L1222" s="14"/>
      <c r="M1222" s="14"/>
      <c r="N1222" s="14"/>
    </row>
    <row r="1223" spans="1:18" hidden="1">
      <c r="A1223" s="113">
        <v>46062</v>
      </c>
      <c r="B1223" s="17" t="s">
        <v>75</v>
      </c>
      <c r="C1223" s="114" t="s">
        <v>121</v>
      </c>
      <c r="D1223" s="114" t="s">
        <v>2394</v>
      </c>
      <c r="E1223" s="17" t="s">
        <v>41</v>
      </c>
      <c r="F1223" s="17" t="s">
        <v>77</v>
      </c>
      <c r="G1223" s="114" t="s">
        <v>2395</v>
      </c>
      <c r="H1223" s="17"/>
      <c r="K1223" s="14"/>
      <c r="L1223" s="14"/>
      <c r="M1223" s="14"/>
      <c r="N1223" s="14"/>
    </row>
    <row r="1224" spans="1:18" hidden="1">
      <c r="A1224" s="113">
        <v>46062</v>
      </c>
      <c r="B1224" s="17" t="s">
        <v>75</v>
      </c>
      <c r="C1224" s="114" t="s">
        <v>2396</v>
      </c>
      <c r="D1224" s="114" t="s">
        <v>2334</v>
      </c>
      <c r="E1224" s="17" t="s">
        <v>41</v>
      </c>
      <c r="F1224" s="17" t="s">
        <v>71</v>
      </c>
      <c r="G1224" s="114" t="s">
        <v>2397</v>
      </c>
      <c r="H1224" s="17"/>
      <c r="K1224" s="14"/>
      <c r="L1224" s="14"/>
      <c r="M1224" s="14"/>
      <c r="N1224" s="14"/>
    </row>
    <row r="1225" spans="1:18" ht="31.5" hidden="1">
      <c r="A1225" s="113">
        <v>46062</v>
      </c>
      <c r="B1225" s="17" t="s">
        <v>76</v>
      </c>
      <c r="C1225" s="114" t="s">
        <v>1670</v>
      </c>
      <c r="D1225" s="114" t="s">
        <v>2398</v>
      </c>
      <c r="E1225" s="17" t="s">
        <v>41</v>
      </c>
      <c r="F1225" s="17" t="s">
        <v>71</v>
      </c>
      <c r="G1225" s="114" t="s">
        <v>2399</v>
      </c>
      <c r="H1225" s="17"/>
      <c r="K1225" s="14"/>
      <c r="L1225" s="32"/>
      <c r="M1225" s="14"/>
      <c r="N1225" s="14"/>
    </row>
    <row r="1226" spans="1:18" hidden="1">
      <c r="A1226" s="113">
        <v>46062</v>
      </c>
      <c r="B1226" s="17" t="s">
        <v>197</v>
      </c>
      <c r="C1226" s="114" t="s">
        <v>1268</v>
      </c>
      <c r="D1226" s="114" t="s">
        <v>1799</v>
      </c>
      <c r="E1226" s="17" t="s">
        <v>41</v>
      </c>
      <c r="F1226" s="17" t="s">
        <v>71</v>
      </c>
      <c r="G1226" s="114" t="s">
        <v>2400</v>
      </c>
      <c r="H1226" s="17"/>
      <c r="K1226" s="14"/>
      <c r="L1226" s="32"/>
      <c r="M1226" s="14"/>
      <c r="N1226" s="32"/>
    </row>
    <row r="1227" spans="1:18" ht="47.25" hidden="1">
      <c r="A1227" s="113">
        <v>46062</v>
      </c>
      <c r="B1227" s="17" t="s">
        <v>75</v>
      </c>
      <c r="C1227" s="114" t="s">
        <v>1452</v>
      </c>
      <c r="D1227" s="114" t="s">
        <v>2022</v>
      </c>
      <c r="E1227" s="17" t="s">
        <v>41</v>
      </c>
      <c r="F1227" s="17" t="s">
        <v>64</v>
      </c>
      <c r="G1227" s="114" t="s">
        <v>2401</v>
      </c>
      <c r="H1227" s="17"/>
      <c r="K1227" s="14"/>
      <c r="L1227" s="32"/>
      <c r="M1227" s="14"/>
      <c r="N1227" s="32"/>
    </row>
    <row r="1228" spans="1:18" ht="31.5" hidden="1">
      <c r="A1228" s="113">
        <v>46062</v>
      </c>
      <c r="B1228" s="17" t="s">
        <v>197</v>
      </c>
      <c r="C1228" s="114" t="s">
        <v>121</v>
      </c>
      <c r="D1228" s="114" t="s">
        <v>2402</v>
      </c>
      <c r="E1228" s="17" t="s">
        <v>41</v>
      </c>
      <c r="F1228" s="17" t="s">
        <v>77</v>
      </c>
      <c r="G1228" s="114" t="s">
        <v>2403</v>
      </c>
      <c r="H1228" s="17"/>
      <c r="K1228" s="14"/>
      <c r="L1228" s="46"/>
      <c r="R1228" s="115"/>
    </row>
    <row r="1229" spans="1:18" ht="126" hidden="1">
      <c r="A1229" s="113">
        <v>46063</v>
      </c>
      <c r="B1229" s="17" t="s">
        <v>75</v>
      </c>
      <c r="C1229" s="114" t="s">
        <v>1452</v>
      </c>
      <c r="D1229" s="114" t="s">
        <v>1483</v>
      </c>
      <c r="E1229" s="17" t="s">
        <v>40</v>
      </c>
      <c r="F1229" s="17" t="s">
        <v>71</v>
      </c>
      <c r="G1229" s="114" t="s">
        <v>2404</v>
      </c>
      <c r="H1229" s="17"/>
      <c r="K1229" s="14"/>
      <c r="L1229" s="46"/>
      <c r="R1229" s="115"/>
    </row>
    <row r="1230" spans="1:18" ht="78.75" hidden="1">
      <c r="A1230" s="113">
        <v>46063</v>
      </c>
      <c r="B1230" s="17" t="s">
        <v>75</v>
      </c>
      <c r="C1230" s="114" t="s">
        <v>121</v>
      </c>
      <c r="D1230" s="114" t="s">
        <v>2402</v>
      </c>
      <c r="E1230" s="17" t="s">
        <v>41</v>
      </c>
      <c r="F1230" s="17" t="s">
        <v>77</v>
      </c>
      <c r="G1230" s="114" t="s">
        <v>2405</v>
      </c>
      <c r="H1230" s="17"/>
      <c r="K1230" s="14"/>
      <c r="L1230" s="46"/>
    </row>
    <row r="1231" spans="1:18" ht="47.25" hidden="1">
      <c r="A1231" s="113">
        <v>46063</v>
      </c>
      <c r="B1231" s="17" t="s">
        <v>75</v>
      </c>
      <c r="C1231" s="114" t="s">
        <v>1247</v>
      </c>
      <c r="D1231" s="114" t="s">
        <v>1248</v>
      </c>
      <c r="E1231" s="17" t="s">
        <v>41</v>
      </c>
      <c r="F1231" s="17" t="s">
        <v>71</v>
      </c>
      <c r="G1231" s="114" t="s">
        <v>2406</v>
      </c>
      <c r="H1231" s="17"/>
      <c r="K1231" s="14"/>
      <c r="L1231" s="46"/>
    </row>
    <row r="1232" spans="1:18" hidden="1">
      <c r="A1232" s="113">
        <v>46063</v>
      </c>
      <c r="B1232" s="17" t="s">
        <v>197</v>
      </c>
      <c r="C1232" s="114" t="s">
        <v>1414</v>
      </c>
      <c r="D1232" s="114" t="s">
        <v>2266</v>
      </c>
      <c r="E1232" s="17" t="s">
        <v>41</v>
      </c>
      <c r="F1232" s="17" t="s">
        <v>77</v>
      </c>
      <c r="G1232" s="114" t="s">
        <v>2407</v>
      </c>
      <c r="H1232" s="17"/>
      <c r="K1232" s="14"/>
      <c r="L1232" s="46"/>
    </row>
    <row r="1233" spans="1:19" ht="94.5" hidden="1">
      <c r="A1233" s="113">
        <v>46063</v>
      </c>
      <c r="B1233" s="17" t="s">
        <v>197</v>
      </c>
      <c r="C1233" s="114" t="s">
        <v>1639</v>
      </c>
      <c r="D1233" s="114" t="s">
        <v>2408</v>
      </c>
      <c r="E1233" s="17" t="s">
        <v>41</v>
      </c>
      <c r="F1233" s="17" t="s">
        <v>71</v>
      </c>
      <c r="G1233" s="114" t="s">
        <v>2409</v>
      </c>
      <c r="H1233" s="17"/>
      <c r="K1233" s="14"/>
      <c r="L1233" s="46"/>
    </row>
    <row r="1234" spans="1:19" s="110" customFormat="1" ht="31.5" hidden="1">
      <c r="A1234" s="113">
        <v>46063</v>
      </c>
      <c r="B1234" s="17" t="s">
        <v>197</v>
      </c>
      <c r="C1234" s="114" t="s">
        <v>1233</v>
      </c>
      <c r="D1234" s="114" t="s">
        <v>1860</v>
      </c>
      <c r="E1234" s="17" t="s">
        <v>41</v>
      </c>
      <c r="F1234" s="17" t="s">
        <v>77</v>
      </c>
      <c r="G1234" s="114" t="s">
        <v>2410</v>
      </c>
      <c r="H1234" s="116"/>
      <c r="K1234" s="111"/>
      <c r="L1234" s="46"/>
      <c r="M1234"/>
      <c r="N1234"/>
      <c r="O1234"/>
      <c r="P1234"/>
      <c r="Q1234"/>
      <c r="R1234"/>
      <c r="S1234"/>
    </row>
    <row r="1235" spans="1:19" ht="47.25" hidden="1">
      <c r="A1235" s="113">
        <v>46063</v>
      </c>
      <c r="B1235" s="17" t="s">
        <v>197</v>
      </c>
      <c r="C1235" s="114" t="s">
        <v>1639</v>
      </c>
      <c r="D1235" s="114" t="s">
        <v>1495</v>
      </c>
      <c r="E1235" s="17" t="s">
        <v>41</v>
      </c>
      <c r="F1235" s="17" t="s">
        <v>71</v>
      </c>
      <c r="G1235" s="114" t="s">
        <v>2411</v>
      </c>
      <c r="H1235" s="17"/>
      <c r="K1235" s="14"/>
      <c r="L1235" s="46"/>
    </row>
    <row r="1236" spans="1:19" ht="47.25" hidden="1">
      <c r="A1236" s="113">
        <v>46063</v>
      </c>
      <c r="B1236" s="17" t="s">
        <v>75</v>
      </c>
      <c r="C1236" s="114" t="s">
        <v>2243</v>
      </c>
      <c r="D1236" s="114" t="s">
        <v>2334</v>
      </c>
      <c r="E1236" s="17" t="s">
        <v>41</v>
      </c>
      <c r="F1236" s="17" t="s">
        <v>71</v>
      </c>
      <c r="G1236" s="114" t="s">
        <v>2412</v>
      </c>
      <c r="H1236" s="17"/>
      <c r="K1236" s="14"/>
      <c r="L1236" s="46"/>
    </row>
    <row r="1237" spans="1:19" ht="47.25" hidden="1">
      <c r="A1237" s="113">
        <v>46063</v>
      </c>
      <c r="B1237" s="17" t="s">
        <v>197</v>
      </c>
      <c r="C1237" s="114" t="s">
        <v>1233</v>
      </c>
      <c r="D1237" s="114" t="s">
        <v>2413</v>
      </c>
      <c r="E1237" s="17" t="s">
        <v>41</v>
      </c>
      <c r="F1237" s="17" t="s">
        <v>77</v>
      </c>
      <c r="G1237" s="114" t="s">
        <v>2414</v>
      </c>
      <c r="H1237" s="17"/>
      <c r="K1237" s="14"/>
      <c r="L1237" s="46"/>
    </row>
    <row r="1238" spans="1:19" ht="47.25" hidden="1">
      <c r="A1238" s="113">
        <v>46063</v>
      </c>
      <c r="B1238" s="17" t="s">
        <v>76</v>
      </c>
      <c r="C1238" s="114" t="s">
        <v>1338</v>
      </c>
      <c r="D1238" s="114" t="s">
        <v>1550</v>
      </c>
      <c r="E1238" s="17" t="s">
        <v>41</v>
      </c>
      <c r="F1238" s="17" t="s">
        <v>77</v>
      </c>
      <c r="G1238" s="114" t="s">
        <v>2415</v>
      </c>
      <c r="H1238" s="17"/>
      <c r="K1238" s="14"/>
      <c r="L1238" s="46"/>
      <c r="S1238" s="46"/>
    </row>
    <row r="1239" spans="1:19" hidden="1">
      <c r="A1239" s="113">
        <v>46064</v>
      </c>
      <c r="B1239" s="16" t="s">
        <v>75</v>
      </c>
      <c r="C1239" s="114" t="s">
        <v>1639</v>
      </c>
      <c r="D1239" s="114" t="s">
        <v>1495</v>
      </c>
      <c r="E1239" s="17" t="s">
        <v>41</v>
      </c>
      <c r="F1239" s="16" t="s">
        <v>71</v>
      </c>
      <c r="G1239" s="114" t="s">
        <v>2416</v>
      </c>
      <c r="H1239" s="16"/>
      <c r="K1239" s="14"/>
      <c r="L1239" s="46"/>
    </row>
    <row r="1240" spans="1:19" hidden="1">
      <c r="A1240" s="113">
        <v>46064</v>
      </c>
      <c r="B1240" s="16" t="s">
        <v>76</v>
      </c>
      <c r="C1240" s="114" t="s">
        <v>1338</v>
      </c>
      <c r="D1240" s="114" t="s">
        <v>2274</v>
      </c>
      <c r="E1240" s="17" t="s">
        <v>41</v>
      </c>
      <c r="F1240" s="16" t="s">
        <v>77</v>
      </c>
      <c r="G1240" s="114" t="s">
        <v>2417</v>
      </c>
      <c r="H1240" s="16"/>
      <c r="K1240" s="14"/>
      <c r="L1240" s="46"/>
    </row>
    <row r="1241" spans="1:19" ht="47.25" hidden="1">
      <c r="A1241" s="113">
        <v>46064</v>
      </c>
      <c r="B1241" s="16" t="s">
        <v>197</v>
      </c>
      <c r="C1241" s="114" t="s">
        <v>1233</v>
      </c>
      <c r="D1241" s="114" t="s">
        <v>2413</v>
      </c>
      <c r="E1241" s="17" t="s">
        <v>41</v>
      </c>
      <c r="F1241" s="16" t="s">
        <v>71</v>
      </c>
      <c r="G1241" s="114" t="s">
        <v>2418</v>
      </c>
      <c r="H1241" s="16"/>
      <c r="K1241" s="14"/>
      <c r="L1241" s="46"/>
    </row>
    <row r="1242" spans="1:19" ht="47.25" hidden="1">
      <c r="A1242" s="113">
        <v>46064</v>
      </c>
      <c r="B1242" s="16" t="s">
        <v>76</v>
      </c>
      <c r="C1242" s="114" t="s">
        <v>1452</v>
      </c>
      <c r="D1242" s="114" t="s">
        <v>2022</v>
      </c>
      <c r="E1242" s="17" t="s">
        <v>41</v>
      </c>
      <c r="F1242" s="16" t="s">
        <v>71</v>
      </c>
      <c r="G1242" s="114" t="s">
        <v>2419</v>
      </c>
      <c r="H1242" s="16"/>
      <c r="K1242" s="14"/>
      <c r="L1242" s="46"/>
    </row>
    <row r="1243" spans="1:19" ht="47.25" hidden="1">
      <c r="A1243" s="113">
        <v>46064</v>
      </c>
      <c r="B1243" s="16" t="s">
        <v>197</v>
      </c>
      <c r="C1243" s="114" t="s">
        <v>477</v>
      </c>
      <c r="D1243" s="114" t="s">
        <v>2388</v>
      </c>
      <c r="E1243" s="17" t="s">
        <v>41</v>
      </c>
      <c r="F1243" s="16" t="s">
        <v>77</v>
      </c>
      <c r="G1243" s="114" t="s">
        <v>2420</v>
      </c>
      <c r="H1243" s="16"/>
      <c r="K1243" s="14"/>
    </row>
    <row r="1244" spans="1:19" ht="47.25" hidden="1">
      <c r="A1244" s="113">
        <v>46064</v>
      </c>
      <c r="B1244" s="16" t="s">
        <v>197</v>
      </c>
      <c r="C1244" s="114" t="s">
        <v>411</v>
      </c>
      <c r="D1244" s="114" t="s">
        <v>2421</v>
      </c>
      <c r="E1244" s="17" t="s">
        <v>41</v>
      </c>
      <c r="F1244" s="16" t="s">
        <v>71</v>
      </c>
      <c r="G1244" s="114" t="s">
        <v>2422</v>
      </c>
      <c r="H1244" s="16"/>
      <c r="K1244" s="14"/>
    </row>
    <row r="1245" spans="1:19" hidden="1">
      <c r="A1245" s="113">
        <v>46064</v>
      </c>
      <c r="B1245" s="16" t="s">
        <v>75</v>
      </c>
      <c r="C1245" s="114" t="s">
        <v>1960</v>
      </c>
      <c r="D1245" s="114" t="s">
        <v>2052</v>
      </c>
      <c r="E1245" s="17" t="s">
        <v>41</v>
      </c>
      <c r="F1245" s="16" t="s">
        <v>77</v>
      </c>
      <c r="G1245" s="114" t="s">
        <v>2423</v>
      </c>
      <c r="H1245" s="16"/>
      <c r="K1245" s="14"/>
    </row>
    <row r="1246" spans="1:19" ht="220.5" hidden="1">
      <c r="A1246" s="113">
        <v>46064</v>
      </c>
      <c r="B1246" s="16" t="s">
        <v>75</v>
      </c>
      <c r="C1246" s="114" t="s">
        <v>1960</v>
      </c>
      <c r="D1246" s="114" t="s">
        <v>2052</v>
      </c>
      <c r="E1246" s="17" t="s">
        <v>41</v>
      </c>
      <c r="F1246" s="16" t="s">
        <v>71</v>
      </c>
      <c r="G1246" s="114" t="s">
        <v>2424</v>
      </c>
      <c r="H1246" s="16"/>
      <c r="K1246" s="14"/>
      <c r="L1246" s="32"/>
      <c r="M1246" s="14"/>
      <c r="N1246" s="14"/>
    </row>
    <row r="1247" spans="1:19" ht="94.5" hidden="1">
      <c r="A1247" s="113">
        <v>46064</v>
      </c>
      <c r="B1247" s="16" t="s">
        <v>75</v>
      </c>
      <c r="C1247" s="114" t="s">
        <v>25</v>
      </c>
      <c r="D1247" s="114" t="s">
        <v>2425</v>
      </c>
      <c r="E1247" s="17" t="s">
        <v>41</v>
      </c>
      <c r="F1247" s="16" t="s">
        <v>77</v>
      </c>
      <c r="G1247" s="114" t="s">
        <v>2426</v>
      </c>
      <c r="H1247" s="16"/>
      <c r="K1247" s="14"/>
      <c r="L1247" s="32"/>
      <c r="M1247" s="14"/>
      <c r="N1247" s="14"/>
    </row>
    <row r="1248" spans="1:19" hidden="1">
      <c r="A1248" s="102">
        <v>46065</v>
      </c>
      <c r="B1248" s="16" t="s">
        <v>75</v>
      </c>
      <c r="C1248" s="114" t="s">
        <v>411</v>
      </c>
      <c r="D1248" s="114" t="s">
        <v>2427</v>
      </c>
      <c r="E1248" s="17" t="s">
        <v>41</v>
      </c>
      <c r="F1248" s="16" t="s">
        <v>71</v>
      </c>
      <c r="G1248" s="114" t="s">
        <v>2428</v>
      </c>
      <c r="H1248" s="16"/>
      <c r="K1248" s="14"/>
      <c r="L1248" s="32"/>
      <c r="M1248" s="14"/>
      <c r="N1248" s="14"/>
    </row>
    <row r="1249" spans="1:14" ht="31.5" hidden="1">
      <c r="A1249" s="102">
        <v>46065</v>
      </c>
      <c r="B1249" s="16" t="s">
        <v>76</v>
      </c>
      <c r="C1249" s="114" t="s">
        <v>407</v>
      </c>
      <c r="D1249" s="114" t="s">
        <v>542</v>
      </c>
      <c r="E1249" s="17" t="s">
        <v>41</v>
      </c>
      <c r="F1249" s="16" t="s">
        <v>77</v>
      </c>
      <c r="G1249" s="114" t="s">
        <v>2429</v>
      </c>
      <c r="H1249" s="16"/>
      <c r="K1249" s="14"/>
      <c r="L1249" s="32"/>
      <c r="M1249" s="14"/>
      <c r="N1249" s="14"/>
    </row>
    <row r="1250" spans="1:14" hidden="1">
      <c r="A1250" s="102">
        <v>46065</v>
      </c>
      <c r="B1250" s="16" t="s">
        <v>75</v>
      </c>
      <c r="C1250" s="114" t="s">
        <v>349</v>
      </c>
      <c r="D1250" s="114" t="s">
        <v>350</v>
      </c>
      <c r="E1250" s="17" t="s">
        <v>41</v>
      </c>
      <c r="F1250" s="16" t="s">
        <v>77</v>
      </c>
      <c r="G1250" s="114" t="s">
        <v>1385</v>
      </c>
      <c r="H1250" s="16"/>
      <c r="K1250" s="14"/>
      <c r="L1250" s="32"/>
      <c r="M1250" s="14"/>
      <c r="N1250" s="14"/>
    </row>
    <row r="1251" spans="1:14" ht="63" hidden="1">
      <c r="A1251" s="102">
        <v>46065</v>
      </c>
      <c r="B1251" s="16" t="s">
        <v>75</v>
      </c>
      <c r="C1251" s="114" t="s">
        <v>1793</v>
      </c>
      <c r="D1251" s="114" t="s">
        <v>1897</v>
      </c>
      <c r="E1251" s="17" t="s">
        <v>41</v>
      </c>
      <c r="F1251" s="16" t="s">
        <v>77</v>
      </c>
      <c r="G1251" s="114" t="s">
        <v>2430</v>
      </c>
      <c r="H1251" s="16"/>
      <c r="K1251" s="14"/>
      <c r="L1251" s="32"/>
      <c r="M1251" s="14"/>
      <c r="N1251" s="14"/>
    </row>
    <row r="1252" spans="1:14" ht="31.5" hidden="1">
      <c r="A1252" s="102">
        <v>46065</v>
      </c>
      <c r="B1252" s="16" t="s">
        <v>75</v>
      </c>
      <c r="C1252" s="114" t="s">
        <v>1774</v>
      </c>
      <c r="D1252" s="114" t="s">
        <v>1953</v>
      </c>
      <c r="E1252" s="17" t="s">
        <v>41</v>
      </c>
      <c r="F1252" s="16" t="s">
        <v>77</v>
      </c>
      <c r="G1252" s="114" t="s">
        <v>2431</v>
      </c>
      <c r="H1252" s="16"/>
      <c r="K1252" s="14"/>
      <c r="L1252" s="32"/>
      <c r="M1252" s="14"/>
      <c r="N1252" s="14"/>
    </row>
    <row r="1253" spans="1:14" hidden="1">
      <c r="A1253" s="102">
        <v>46065</v>
      </c>
      <c r="B1253" s="16" t="s">
        <v>75</v>
      </c>
      <c r="C1253" s="114" t="s">
        <v>1528</v>
      </c>
      <c r="D1253" s="114" t="s">
        <v>2010</v>
      </c>
      <c r="E1253" s="17" t="s">
        <v>41</v>
      </c>
      <c r="F1253" s="16" t="s">
        <v>77</v>
      </c>
      <c r="G1253" s="114" t="s">
        <v>1385</v>
      </c>
      <c r="H1253" s="16"/>
      <c r="K1253" s="14"/>
      <c r="L1253" s="32"/>
      <c r="M1253" s="14"/>
      <c r="N1253" s="14"/>
    </row>
    <row r="1254" spans="1:14" hidden="1">
      <c r="A1254" s="102">
        <v>46065</v>
      </c>
      <c r="B1254" s="16" t="s">
        <v>75</v>
      </c>
      <c r="C1254" s="114" t="s">
        <v>1528</v>
      </c>
      <c r="D1254" s="114" t="s">
        <v>2432</v>
      </c>
      <c r="E1254" s="17" t="s">
        <v>41</v>
      </c>
      <c r="F1254" s="16" t="s">
        <v>77</v>
      </c>
      <c r="G1254" s="114" t="s">
        <v>613</v>
      </c>
      <c r="H1254" s="16"/>
      <c r="K1254" s="14"/>
      <c r="L1254" s="32"/>
      <c r="M1254" s="14"/>
      <c r="N1254" s="14"/>
    </row>
    <row r="1255" spans="1:14" ht="126" hidden="1">
      <c r="A1255" s="102">
        <v>46065</v>
      </c>
      <c r="B1255" s="16" t="s">
        <v>75</v>
      </c>
      <c r="C1255" s="114" t="s">
        <v>2317</v>
      </c>
      <c r="D1255" s="114" t="s">
        <v>2368</v>
      </c>
      <c r="E1255" s="17" t="s">
        <v>41</v>
      </c>
      <c r="F1255" s="16" t="s">
        <v>77</v>
      </c>
      <c r="G1255" s="114" t="s">
        <v>2433</v>
      </c>
      <c r="H1255" s="16"/>
      <c r="K1255" s="14"/>
      <c r="L1255" s="32"/>
      <c r="M1255" s="14"/>
      <c r="N1255" s="14"/>
    </row>
    <row r="1256" spans="1:14" hidden="1">
      <c r="A1256" s="102">
        <v>46065</v>
      </c>
      <c r="B1256" s="16" t="s">
        <v>75</v>
      </c>
      <c r="C1256" s="114" t="s">
        <v>1253</v>
      </c>
      <c r="D1256" s="114" t="s">
        <v>2010</v>
      </c>
      <c r="E1256" s="17" t="s">
        <v>41</v>
      </c>
      <c r="F1256" s="16" t="s">
        <v>77</v>
      </c>
      <c r="G1256" s="114" t="s">
        <v>2434</v>
      </c>
      <c r="H1256" s="16"/>
      <c r="K1256" s="14"/>
      <c r="L1256" s="32"/>
      <c r="M1256" s="14"/>
      <c r="N1256" s="14"/>
    </row>
    <row r="1257" spans="1:14" ht="47.25" hidden="1">
      <c r="A1257" s="102">
        <v>46065</v>
      </c>
      <c r="B1257" s="16" t="s">
        <v>75</v>
      </c>
      <c r="C1257" s="114" t="s">
        <v>1878</v>
      </c>
      <c r="D1257" s="114" t="s">
        <v>2028</v>
      </c>
      <c r="E1257" s="17" t="s">
        <v>41</v>
      </c>
      <c r="F1257" s="16" t="s">
        <v>64</v>
      </c>
      <c r="G1257" s="114" t="s">
        <v>2435</v>
      </c>
      <c r="H1257" s="16"/>
      <c r="K1257" s="14"/>
      <c r="L1257" s="32"/>
      <c r="M1257" s="14"/>
      <c r="N1257" s="14"/>
    </row>
    <row r="1258" spans="1:14" ht="47.25" hidden="1">
      <c r="A1258" s="102">
        <v>46065</v>
      </c>
      <c r="B1258" s="16" t="s">
        <v>75</v>
      </c>
      <c r="C1258" s="114" t="s">
        <v>1528</v>
      </c>
      <c r="D1258" s="114" t="s">
        <v>2010</v>
      </c>
      <c r="E1258" s="17" t="s">
        <v>41</v>
      </c>
      <c r="F1258" s="16" t="s">
        <v>64</v>
      </c>
      <c r="G1258" s="114" t="s">
        <v>2436</v>
      </c>
      <c r="H1258" s="16"/>
      <c r="K1258" s="14"/>
      <c r="L1258" s="32"/>
      <c r="M1258" s="14"/>
      <c r="N1258" s="14"/>
    </row>
    <row r="1259" spans="1:14" hidden="1">
      <c r="A1259" s="102">
        <v>46065</v>
      </c>
      <c r="B1259" s="16" t="s">
        <v>75</v>
      </c>
      <c r="C1259" s="114" t="s">
        <v>2437</v>
      </c>
      <c r="D1259" s="114" t="s">
        <v>1502</v>
      </c>
      <c r="E1259" s="17" t="s">
        <v>41</v>
      </c>
      <c r="F1259" s="16" t="s">
        <v>77</v>
      </c>
      <c r="G1259" s="114" t="s">
        <v>613</v>
      </c>
      <c r="H1259" s="16"/>
      <c r="K1259" s="14"/>
      <c r="L1259" s="32"/>
      <c r="M1259" s="14"/>
      <c r="N1259" s="14"/>
    </row>
    <row r="1260" spans="1:14" hidden="1">
      <c r="A1260" s="102">
        <v>46065</v>
      </c>
      <c r="B1260" s="16" t="s">
        <v>75</v>
      </c>
      <c r="C1260" s="114" t="s">
        <v>49</v>
      </c>
      <c r="D1260" s="114" t="s">
        <v>2438</v>
      </c>
      <c r="E1260" s="17" t="s">
        <v>41</v>
      </c>
      <c r="F1260" s="16" t="s">
        <v>77</v>
      </c>
      <c r="G1260" s="114" t="s">
        <v>2439</v>
      </c>
      <c r="H1260" s="16"/>
      <c r="K1260" s="14"/>
      <c r="L1260" s="32"/>
      <c r="M1260" s="14"/>
      <c r="N1260" s="14"/>
    </row>
    <row r="1261" spans="1:14" hidden="1">
      <c r="A1261" s="102">
        <v>46065</v>
      </c>
      <c r="B1261" s="16" t="s">
        <v>197</v>
      </c>
      <c r="C1261" s="114" t="s">
        <v>477</v>
      </c>
      <c r="D1261" s="114" t="s">
        <v>2440</v>
      </c>
      <c r="E1261" s="17" t="s">
        <v>41</v>
      </c>
      <c r="F1261" s="16" t="s">
        <v>71</v>
      </c>
      <c r="G1261" s="114" t="s">
        <v>2441</v>
      </c>
      <c r="H1261" s="16"/>
      <c r="K1261" s="14"/>
      <c r="L1261" s="32"/>
      <c r="M1261" s="14"/>
      <c r="N1261" s="14"/>
    </row>
    <row r="1262" spans="1:14" ht="31.5" hidden="1">
      <c r="A1262" s="102">
        <v>46066</v>
      </c>
      <c r="B1262" s="16" t="s">
        <v>197</v>
      </c>
      <c r="C1262" s="114" t="s">
        <v>1233</v>
      </c>
      <c r="D1262" s="114" t="s">
        <v>2413</v>
      </c>
      <c r="E1262" s="17" t="s">
        <v>41</v>
      </c>
      <c r="F1262" s="16" t="s">
        <v>71</v>
      </c>
      <c r="G1262" s="114" t="s">
        <v>2442</v>
      </c>
      <c r="H1262" s="16"/>
      <c r="K1262" s="14"/>
      <c r="L1262" s="32"/>
      <c r="M1262" s="14"/>
      <c r="N1262" s="14"/>
    </row>
    <row r="1263" spans="1:14" hidden="1">
      <c r="A1263" s="102">
        <v>46066</v>
      </c>
      <c r="B1263" s="16" t="s">
        <v>197</v>
      </c>
      <c r="C1263" s="114" t="s">
        <v>517</v>
      </c>
      <c r="D1263" s="114" t="s">
        <v>2443</v>
      </c>
      <c r="E1263" s="17" t="s">
        <v>41</v>
      </c>
      <c r="F1263" s="16" t="s">
        <v>71</v>
      </c>
      <c r="G1263" s="114" t="s">
        <v>2444</v>
      </c>
      <c r="H1263" s="16"/>
      <c r="K1263" s="14"/>
      <c r="L1263" s="32"/>
      <c r="M1263" s="14"/>
      <c r="N1263" s="14"/>
    </row>
    <row r="1264" spans="1:14" hidden="1">
      <c r="A1264" s="102"/>
      <c r="B1264" s="16"/>
      <c r="C1264" s="118"/>
      <c r="D1264" s="118"/>
      <c r="E1264" s="16"/>
      <c r="F1264" s="16"/>
      <c r="G1264" s="114"/>
      <c r="H1264" s="16"/>
      <c r="K1264" s="14"/>
      <c r="L1264" s="32"/>
      <c r="M1264" s="14"/>
      <c r="N1264" s="14"/>
    </row>
    <row r="1265" spans="1:14" hidden="1">
      <c r="A1265" s="105"/>
      <c r="B1265" s="106"/>
      <c r="C1265" s="107"/>
      <c r="D1265" s="107"/>
      <c r="E1265" s="106"/>
      <c r="F1265" s="106"/>
      <c r="G1265" s="93"/>
      <c r="H1265" s="16"/>
      <c r="K1265" s="14"/>
      <c r="L1265" s="32"/>
      <c r="M1265" s="14"/>
      <c r="N1265" s="14"/>
    </row>
    <row r="1266" spans="1:14" hidden="1">
      <c r="A1266" s="105"/>
      <c r="B1266" s="106"/>
      <c r="C1266" s="107"/>
      <c r="D1266" s="107"/>
      <c r="E1266" s="106"/>
      <c r="F1266" s="106"/>
      <c r="G1266" s="93"/>
      <c r="H1266" s="16"/>
      <c r="K1266" s="14"/>
      <c r="L1266" s="32"/>
      <c r="M1266" s="14"/>
      <c r="N1266" s="14"/>
    </row>
    <row r="1267" spans="1:14" hidden="1">
      <c r="A1267" s="105"/>
      <c r="B1267" s="106"/>
      <c r="C1267" s="107"/>
      <c r="D1267" s="107"/>
      <c r="E1267" s="106"/>
      <c r="F1267" s="106"/>
      <c r="G1267" s="93"/>
      <c r="H1267" s="16"/>
      <c r="K1267" s="14"/>
      <c r="L1267" s="32"/>
      <c r="M1267" s="14"/>
      <c r="N1267" s="14"/>
    </row>
    <row r="1268" spans="1:14" hidden="1"/>
    <row r="1269" spans="1:14" hidden="1">
      <c r="A1269" s="3" t="s">
        <v>70</v>
      </c>
      <c r="B1269" s="4" t="s">
        <v>72</v>
      </c>
      <c r="C1269" s="4" t="s">
        <v>16</v>
      </c>
      <c r="D1269" s="34" t="s">
        <v>155</v>
      </c>
      <c r="E1269" s="9" t="s">
        <v>156</v>
      </c>
      <c r="F1269" s="10" t="s">
        <v>157</v>
      </c>
    </row>
    <row r="1270" spans="1:14" hidden="1">
      <c r="A1270" s="135" t="s">
        <v>63</v>
      </c>
      <c r="B1270" s="99" t="s">
        <v>68</v>
      </c>
      <c r="C1270" s="99">
        <v>16</v>
      </c>
      <c r="D1270" s="99">
        <f>C1270</f>
        <v>16</v>
      </c>
      <c r="E1270" s="138">
        <f>D1270+D1272+D1274</f>
        <v>17</v>
      </c>
      <c r="F1270" s="141">
        <f>E1270/12</f>
        <v>1.4166666666666667</v>
      </c>
    </row>
    <row r="1271" spans="1:14" hidden="1">
      <c r="A1271" s="136"/>
      <c r="B1271" s="144" t="s">
        <v>65</v>
      </c>
      <c r="C1271" s="144">
        <v>3</v>
      </c>
      <c r="D1271" s="35" t="s">
        <v>158</v>
      </c>
      <c r="E1271" s="139"/>
      <c r="F1271" s="142"/>
    </row>
    <row r="1272" spans="1:14" hidden="1">
      <c r="A1272" s="136"/>
      <c r="B1272" s="145"/>
      <c r="C1272" s="145"/>
      <c r="D1272" s="16">
        <f>C1271/3</f>
        <v>1</v>
      </c>
      <c r="E1272" s="139"/>
      <c r="F1272" s="142"/>
    </row>
    <row r="1273" spans="1:14" hidden="1">
      <c r="A1273" s="136"/>
      <c r="B1273" s="144" t="s">
        <v>69</v>
      </c>
      <c r="C1273" s="144">
        <v>22</v>
      </c>
      <c r="D1273" s="35" t="s">
        <v>159</v>
      </c>
      <c r="E1273" s="139"/>
      <c r="F1273" s="142"/>
    </row>
    <row r="1274" spans="1:14" hidden="1">
      <c r="A1274" s="137"/>
      <c r="B1274" s="145"/>
      <c r="C1274" s="145"/>
      <c r="D1274" s="16">
        <v>0</v>
      </c>
      <c r="E1274" s="140"/>
      <c r="F1274" s="143"/>
    </row>
    <row r="1275" spans="1:14" hidden="1">
      <c r="A1275" s="36" t="s">
        <v>70</v>
      </c>
      <c r="B1275" s="37" t="s">
        <v>72</v>
      </c>
      <c r="C1275" s="37" t="s">
        <v>16</v>
      </c>
      <c r="D1275" s="146" t="s">
        <v>160</v>
      </c>
      <c r="E1275" s="147"/>
      <c r="F1275" s="148"/>
    </row>
    <row r="1276" spans="1:14" hidden="1">
      <c r="A1276" s="149" t="s">
        <v>62</v>
      </c>
      <c r="B1276" s="16" t="s">
        <v>68</v>
      </c>
      <c r="C1276" s="16">
        <v>1</v>
      </c>
      <c r="D1276" s="151">
        <f>C1276/9</f>
        <v>0.1111111111111111</v>
      </c>
      <c r="E1276" s="152"/>
      <c r="F1276" s="153"/>
    </row>
    <row r="1277" spans="1:14" ht="16.5" hidden="1" thickBot="1">
      <c r="A1277" s="150"/>
      <c r="B1277" s="20" t="s">
        <v>69</v>
      </c>
      <c r="C1277" s="20">
        <v>0</v>
      </c>
      <c r="D1277" s="154"/>
      <c r="E1277" s="155"/>
      <c r="F1277" s="156"/>
    </row>
    <row r="1278" spans="1:14" hidden="1"/>
    <row r="1279" spans="1:14" hidden="1">
      <c r="A1279" t="s">
        <v>2445</v>
      </c>
    </row>
    <row r="1280" spans="1:14" hidden="1">
      <c r="A1280" s="37" t="s">
        <v>58</v>
      </c>
      <c r="B1280" s="37" t="s">
        <v>67</v>
      </c>
      <c r="C1280" s="37" t="s">
        <v>3</v>
      </c>
      <c r="D1280" s="37" t="s">
        <v>57</v>
      </c>
      <c r="E1280" s="37" t="s">
        <v>59</v>
      </c>
      <c r="F1280" s="37" t="s">
        <v>61</v>
      </c>
      <c r="G1280" s="37" t="s">
        <v>60</v>
      </c>
      <c r="H1280" s="37" t="s">
        <v>66</v>
      </c>
      <c r="K1280" s="14"/>
      <c r="L1280" s="14"/>
      <c r="M1280" s="32"/>
      <c r="N1280" s="14"/>
    </row>
    <row r="1281" spans="1:19" hidden="1">
      <c r="A1281" s="113">
        <v>46076</v>
      </c>
      <c r="B1281" s="17" t="s">
        <v>75</v>
      </c>
      <c r="C1281" s="114" t="s">
        <v>2446</v>
      </c>
      <c r="D1281" s="114" t="s">
        <v>2447</v>
      </c>
      <c r="E1281" s="17" t="s">
        <v>41</v>
      </c>
      <c r="F1281" s="17" t="s">
        <v>77</v>
      </c>
      <c r="G1281" s="114" t="s">
        <v>129</v>
      </c>
      <c r="H1281" s="17"/>
      <c r="K1281" s="14"/>
      <c r="L1281" s="14"/>
      <c r="M1281" s="14"/>
      <c r="N1281" s="14"/>
    </row>
    <row r="1282" spans="1:19" hidden="1">
      <c r="A1282" s="113">
        <v>46076</v>
      </c>
      <c r="B1282" s="17" t="s">
        <v>197</v>
      </c>
      <c r="C1282" s="114" t="s">
        <v>561</v>
      </c>
      <c r="D1282" s="114" t="s">
        <v>2448</v>
      </c>
      <c r="E1282" s="17" t="s">
        <v>41</v>
      </c>
      <c r="F1282" s="17" t="s">
        <v>77</v>
      </c>
      <c r="G1282" s="114" t="s">
        <v>129</v>
      </c>
      <c r="H1282" s="17"/>
      <c r="K1282" s="14"/>
      <c r="L1282" s="14"/>
      <c r="M1282" s="14"/>
      <c r="N1282" s="14"/>
    </row>
    <row r="1283" spans="1:19" hidden="1">
      <c r="A1283" s="113">
        <v>46076</v>
      </c>
      <c r="B1283" s="17" t="s">
        <v>75</v>
      </c>
      <c r="C1283" s="114" t="s">
        <v>561</v>
      </c>
      <c r="D1283" s="114" t="s">
        <v>565</v>
      </c>
      <c r="E1283" s="17" t="s">
        <v>41</v>
      </c>
      <c r="F1283" s="17" t="s">
        <v>77</v>
      </c>
      <c r="G1283" s="114" t="s">
        <v>129</v>
      </c>
      <c r="H1283" s="17"/>
      <c r="K1283" s="14"/>
      <c r="L1283" s="14"/>
      <c r="M1283" s="14"/>
      <c r="N1283" s="14"/>
    </row>
    <row r="1284" spans="1:19" hidden="1">
      <c r="A1284" s="113">
        <v>46076</v>
      </c>
      <c r="B1284" s="17" t="s">
        <v>197</v>
      </c>
      <c r="C1284" s="114" t="s">
        <v>1261</v>
      </c>
      <c r="D1284" s="114" t="s">
        <v>2449</v>
      </c>
      <c r="E1284" s="17" t="s">
        <v>41</v>
      </c>
      <c r="F1284" s="17" t="s">
        <v>77</v>
      </c>
      <c r="G1284" s="114" t="s">
        <v>129</v>
      </c>
      <c r="H1284" s="17"/>
      <c r="K1284" s="14"/>
      <c r="L1284" s="32"/>
      <c r="M1284" s="14"/>
      <c r="N1284" s="14"/>
    </row>
    <row r="1285" spans="1:19" hidden="1">
      <c r="A1285" s="113">
        <v>46076</v>
      </c>
      <c r="B1285" s="17" t="s">
        <v>197</v>
      </c>
      <c r="C1285" s="114" t="s">
        <v>979</v>
      </c>
      <c r="D1285" s="114" t="s">
        <v>1578</v>
      </c>
      <c r="E1285" s="17" t="s">
        <v>41</v>
      </c>
      <c r="F1285" s="17" t="s">
        <v>77</v>
      </c>
      <c r="G1285" s="114" t="s">
        <v>2450</v>
      </c>
      <c r="H1285" s="17"/>
      <c r="K1285" s="14"/>
      <c r="L1285" s="32"/>
      <c r="M1285" s="14"/>
      <c r="N1285" s="32"/>
    </row>
    <row r="1286" spans="1:19" ht="94.5" hidden="1">
      <c r="A1286" s="113">
        <v>46076</v>
      </c>
      <c r="B1286" s="17" t="s">
        <v>75</v>
      </c>
      <c r="C1286" s="114" t="s">
        <v>2317</v>
      </c>
      <c r="D1286" s="114" t="s">
        <v>2366</v>
      </c>
      <c r="E1286" s="17" t="s">
        <v>41</v>
      </c>
      <c r="F1286" s="17" t="s">
        <v>71</v>
      </c>
      <c r="G1286" s="114" t="s">
        <v>2451</v>
      </c>
      <c r="H1286" s="17"/>
      <c r="K1286" s="14"/>
      <c r="L1286" s="32"/>
      <c r="M1286" s="14"/>
      <c r="N1286" s="32"/>
    </row>
    <row r="1287" spans="1:19" hidden="1">
      <c r="A1287" s="113">
        <v>46076</v>
      </c>
      <c r="B1287" s="17" t="s">
        <v>197</v>
      </c>
      <c r="C1287" s="114" t="s">
        <v>2452</v>
      </c>
      <c r="D1287" s="114" t="s">
        <v>2453</v>
      </c>
      <c r="E1287" s="17" t="s">
        <v>41</v>
      </c>
      <c r="F1287" s="17" t="s">
        <v>71</v>
      </c>
      <c r="G1287" s="114" t="s">
        <v>2454</v>
      </c>
      <c r="H1287" s="17"/>
      <c r="K1287" s="14"/>
      <c r="L1287" s="32"/>
      <c r="M1287" s="14"/>
      <c r="N1287" s="32"/>
    </row>
    <row r="1288" spans="1:19" hidden="1">
      <c r="A1288" s="113">
        <v>46076</v>
      </c>
      <c r="B1288" s="17" t="s">
        <v>75</v>
      </c>
      <c r="C1288" s="114" t="s">
        <v>14</v>
      </c>
      <c r="D1288" s="114" t="s">
        <v>2455</v>
      </c>
      <c r="E1288" s="17" t="s">
        <v>41</v>
      </c>
      <c r="F1288" s="17" t="s">
        <v>77</v>
      </c>
      <c r="G1288" s="114" t="s">
        <v>129</v>
      </c>
      <c r="H1288" s="17"/>
      <c r="K1288" s="14"/>
      <c r="L1288" s="32"/>
      <c r="M1288" s="14"/>
      <c r="N1288" s="32"/>
    </row>
    <row r="1289" spans="1:19" ht="63" hidden="1">
      <c r="A1289" s="113">
        <v>46077</v>
      </c>
      <c r="B1289" s="17" t="s">
        <v>75</v>
      </c>
      <c r="C1289" s="114" t="s">
        <v>25</v>
      </c>
      <c r="D1289" s="114" t="s">
        <v>164</v>
      </c>
      <c r="E1289" s="17" t="s">
        <v>41</v>
      </c>
      <c r="F1289" s="17" t="s">
        <v>64</v>
      </c>
      <c r="G1289" s="114" t="s">
        <v>2456</v>
      </c>
      <c r="H1289" s="17"/>
      <c r="K1289" s="14"/>
      <c r="L1289" s="46"/>
      <c r="R1289" s="115"/>
    </row>
    <row r="1290" spans="1:19" ht="31.5" hidden="1">
      <c r="A1290" s="113">
        <v>46077</v>
      </c>
      <c r="B1290" s="17" t="s">
        <v>75</v>
      </c>
      <c r="C1290" s="114" t="s">
        <v>1202</v>
      </c>
      <c r="D1290" s="114" t="s">
        <v>1411</v>
      </c>
      <c r="E1290" s="17" t="s">
        <v>41</v>
      </c>
      <c r="F1290" s="17" t="s">
        <v>64</v>
      </c>
      <c r="G1290" s="114" t="s">
        <v>2457</v>
      </c>
      <c r="H1290" s="17"/>
      <c r="K1290" s="14"/>
      <c r="L1290" s="46"/>
      <c r="R1290" s="115"/>
    </row>
    <row r="1291" spans="1:19" ht="63" hidden="1">
      <c r="A1291" s="113">
        <v>46077</v>
      </c>
      <c r="B1291" s="17" t="s">
        <v>75</v>
      </c>
      <c r="C1291" s="114" t="s">
        <v>42</v>
      </c>
      <c r="D1291" s="114" t="s">
        <v>2458</v>
      </c>
      <c r="E1291" s="17" t="s">
        <v>41</v>
      </c>
      <c r="F1291" s="17" t="s">
        <v>77</v>
      </c>
      <c r="G1291" s="114" t="s">
        <v>2459</v>
      </c>
      <c r="H1291" s="17"/>
      <c r="K1291" s="14"/>
      <c r="L1291" s="46"/>
    </row>
    <row r="1292" spans="1:19" ht="31.5" hidden="1">
      <c r="A1292" s="113">
        <v>46077</v>
      </c>
      <c r="B1292" s="17" t="s">
        <v>197</v>
      </c>
      <c r="C1292" s="114" t="s">
        <v>1233</v>
      </c>
      <c r="D1292" s="114" t="s">
        <v>2252</v>
      </c>
      <c r="E1292" s="17" t="s">
        <v>41</v>
      </c>
      <c r="F1292" s="17" t="s">
        <v>77</v>
      </c>
      <c r="G1292" s="114" t="s">
        <v>2460</v>
      </c>
      <c r="H1292" s="17"/>
      <c r="K1292" s="14"/>
      <c r="L1292" s="46"/>
    </row>
    <row r="1293" spans="1:19" hidden="1">
      <c r="A1293" s="113">
        <v>46077</v>
      </c>
      <c r="B1293" s="17" t="s">
        <v>75</v>
      </c>
      <c r="C1293" s="114" t="s">
        <v>1528</v>
      </c>
      <c r="D1293" s="114" t="s">
        <v>2010</v>
      </c>
      <c r="E1293" s="17" t="s">
        <v>41</v>
      </c>
      <c r="F1293" s="17" t="s">
        <v>77</v>
      </c>
      <c r="G1293" s="114" t="s">
        <v>2461</v>
      </c>
      <c r="H1293" s="17"/>
      <c r="K1293" s="14"/>
      <c r="L1293" s="46"/>
    </row>
    <row r="1294" spans="1:19" hidden="1">
      <c r="A1294" s="113">
        <v>46077</v>
      </c>
      <c r="B1294" s="17" t="s">
        <v>75</v>
      </c>
      <c r="C1294" s="114" t="s">
        <v>979</v>
      </c>
      <c r="D1294" s="114" t="s">
        <v>1259</v>
      </c>
      <c r="E1294" s="17" t="s">
        <v>41</v>
      </c>
      <c r="F1294" s="17" t="s">
        <v>77</v>
      </c>
      <c r="G1294" s="114" t="s">
        <v>2462</v>
      </c>
      <c r="H1294" s="17"/>
      <c r="K1294" s="14"/>
      <c r="L1294" s="46"/>
    </row>
    <row r="1295" spans="1:19" s="110" customFormat="1" hidden="1">
      <c r="A1295" s="113">
        <v>46077</v>
      </c>
      <c r="B1295" s="17" t="s">
        <v>75</v>
      </c>
      <c r="C1295" s="114" t="s">
        <v>49</v>
      </c>
      <c r="D1295" s="114" t="s">
        <v>2438</v>
      </c>
      <c r="E1295" s="17" t="s">
        <v>41</v>
      </c>
      <c r="F1295" s="17" t="s">
        <v>77</v>
      </c>
      <c r="G1295" s="114" t="s">
        <v>129</v>
      </c>
      <c r="H1295" s="116"/>
      <c r="K1295" s="111"/>
      <c r="L1295" s="46"/>
      <c r="M1295"/>
      <c r="N1295"/>
      <c r="O1295"/>
      <c r="P1295"/>
      <c r="Q1295"/>
      <c r="R1295"/>
      <c r="S1295"/>
    </row>
    <row r="1296" spans="1:19" hidden="1">
      <c r="A1296" s="113">
        <v>46077</v>
      </c>
      <c r="B1296" s="17" t="s">
        <v>75</v>
      </c>
      <c r="C1296" s="114" t="s">
        <v>49</v>
      </c>
      <c r="D1296" s="114" t="s">
        <v>2463</v>
      </c>
      <c r="E1296" s="17" t="s">
        <v>41</v>
      </c>
      <c r="F1296" s="17" t="s">
        <v>77</v>
      </c>
      <c r="G1296" s="114" t="s">
        <v>129</v>
      </c>
      <c r="H1296" s="17"/>
      <c r="K1296" s="14"/>
      <c r="L1296" s="46"/>
    </row>
    <row r="1297" spans="1:19" ht="63" hidden="1">
      <c r="A1297" s="113">
        <v>46077</v>
      </c>
      <c r="B1297" s="17" t="s">
        <v>75</v>
      </c>
      <c r="C1297" s="114" t="s">
        <v>1323</v>
      </c>
      <c r="D1297" s="114" t="s">
        <v>1324</v>
      </c>
      <c r="E1297" s="17" t="s">
        <v>41</v>
      </c>
      <c r="F1297" s="17" t="s">
        <v>71</v>
      </c>
      <c r="G1297" s="114" t="s">
        <v>2464</v>
      </c>
      <c r="H1297" s="17"/>
      <c r="K1297" s="14"/>
      <c r="L1297" s="46"/>
    </row>
    <row r="1298" spans="1:19" ht="31.5" hidden="1">
      <c r="A1298" s="113">
        <v>46077</v>
      </c>
      <c r="B1298" s="17" t="s">
        <v>75</v>
      </c>
      <c r="C1298" s="114" t="s">
        <v>1323</v>
      </c>
      <c r="D1298" s="114" t="s">
        <v>2465</v>
      </c>
      <c r="E1298" s="17" t="s">
        <v>41</v>
      </c>
      <c r="F1298" s="17" t="s">
        <v>71</v>
      </c>
      <c r="G1298" s="114" t="s">
        <v>2466</v>
      </c>
      <c r="H1298" s="17"/>
      <c r="K1298" s="14"/>
      <c r="L1298" s="46"/>
    </row>
    <row r="1299" spans="1:19" ht="31.5" hidden="1">
      <c r="A1299" s="113">
        <v>46077</v>
      </c>
      <c r="B1299" s="17" t="s">
        <v>197</v>
      </c>
      <c r="C1299" s="114" t="s">
        <v>2314</v>
      </c>
      <c r="D1299" s="114" t="s">
        <v>2386</v>
      </c>
      <c r="E1299" s="17" t="s">
        <v>41</v>
      </c>
      <c r="F1299" s="17" t="s">
        <v>71</v>
      </c>
      <c r="G1299" s="114" t="s">
        <v>2467</v>
      </c>
      <c r="H1299" s="17"/>
      <c r="K1299" s="14"/>
      <c r="L1299" s="46"/>
      <c r="S1299" s="46"/>
    </row>
    <row r="1300" spans="1:19" ht="63" hidden="1">
      <c r="A1300" s="113">
        <v>46077</v>
      </c>
      <c r="B1300" s="16" t="s">
        <v>76</v>
      </c>
      <c r="C1300" s="114" t="s">
        <v>1261</v>
      </c>
      <c r="D1300" s="114" t="s">
        <v>2468</v>
      </c>
      <c r="E1300" s="17" t="s">
        <v>41</v>
      </c>
      <c r="F1300" s="16" t="s">
        <v>77</v>
      </c>
      <c r="G1300" s="114" t="s">
        <v>2469</v>
      </c>
      <c r="H1300" s="16"/>
      <c r="K1300" s="14"/>
      <c r="L1300" s="46"/>
    </row>
    <row r="1301" spans="1:19" hidden="1">
      <c r="A1301" s="113">
        <v>46077</v>
      </c>
      <c r="B1301" s="16" t="s">
        <v>75</v>
      </c>
      <c r="C1301" s="114" t="s">
        <v>561</v>
      </c>
      <c r="D1301" s="114" t="s">
        <v>2448</v>
      </c>
      <c r="E1301" s="17" t="s">
        <v>41</v>
      </c>
      <c r="F1301" s="16" t="s">
        <v>77</v>
      </c>
      <c r="G1301" s="114" t="s">
        <v>129</v>
      </c>
      <c r="H1301" s="16"/>
      <c r="K1301" s="14"/>
      <c r="L1301" s="46"/>
    </row>
    <row r="1302" spans="1:19" hidden="1">
      <c r="A1302" s="113">
        <v>46077</v>
      </c>
      <c r="B1302" s="16" t="s">
        <v>75</v>
      </c>
      <c r="C1302" s="114" t="s">
        <v>561</v>
      </c>
      <c r="D1302" s="114" t="s">
        <v>565</v>
      </c>
      <c r="E1302" s="17" t="s">
        <v>41</v>
      </c>
      <c r="F1302" s="16" t="s">
        <v>77</v>
      </c>
      <c r="G1302" s="114" t="s">
        <v>129</v>
      </c>
      <c r="H1302" s="16"/>
      <c r="K1302" s="14"/>
      <c r="L1302" s="46"/>
    </row>
    <row r="1303" spans="1:19" ht="94.5" hidden="1">
      <c r="A1303" s="113">
        <v>46077</v>
      </c>
      <c r="B1303" s="16" t="s">
        <v>75</v>
      </c>
      <c r="C1303" s="114" t="s">
        <v>2446</v>
      </c>
      <c r="D1303" s="114" t="s">
        <v>2447</v>
      </c>
      <c r="E1303" s="17" t="s">
        <v>41</v>
      </c>
      <c r="F1303" s="16" t="s">
        <v>71</v>
      </c>
      <c r="G1303" s="114" t="s">
        <v>2470</v>
      </c>
      <c r="H1303" s="16"/>
      <c r="K1303" s="14"/>
    </row>
    <row r="1304" spans="1:19" hidden="1">
      <c r="A1304" s="113">
        <v>46077</v>
      </c>
      <c r="B1304" s="16" t="s">
        <v>197</v>
      </c>
      <c r="C1304" s="114" t="s">
        <v>459</v>
      </c>
      <c r="D1304" s="114" t="s">
        <v>2471</v>
      </c>
      <c r="E1304" s="17" t="s">
        <v>41</v>
      </c>
      <c r="F1304" s="16" t="s">
        <v>77</v>
      </c>
      <c r="G1304" s="114" t="s">
        <v>129</v>
      </c>
      <c r="H1304" s="16"/>
      <c r="K1304" s="14"/>
    </row>
    <row r="1305" spans="1:19" hidden="1">
      <c r="A1305" s="113">
        <v>46077</v>
      </c>
      <c r="B1305" s="16" t="s">
        <v>75</v>
      </c>
      <c r="C1305" s="114" t="s">
        <v>459</v>
      </c>
      <c r="D1305" s="114" t="s">
        <v>2472</v>
      </c>
      <c r="E1305" s="17" t="s">
        <v>41</v>
      </c>
      <c r="F1305" s="16" t="s">
        <v>77</v>
      </c>
      <c r="G1305" s="114" t="s">
        <v>129</v>
      </c>
      <c r="H1305" s="16"/>
      <c r="K1305" s="14"/>
    </row>
    <row r="1306" spans="1:19" hidden="1">
      <c r="A1306" s="113">
        <v>46077</v>
      </c>
      <c r="B1306" s="16" t="s">
        <v>75</v>
      </c>
      <c r="C1306" s="114" t="s">
        <v>1960</v>
      </c>
      <c r="D1306" s="114" t="s">
        <v>2052</v>
      </c>
      <c r="E1306" s="17" t="s">
        <v>41</v>
      </c>
      <c r="F1306" s="16" t="s">
        <v>77</v>
      </c>
      <c r="G1306" s="114" t="s">
        <v>129</v>
      </c>
      <c r="H1306" s="16"/>
      <c r="K1306" s="14"/>
      <c r="L1306" s="32"/>
      <c r="M1306" s="14"/>
      <c r="N1306" s="14"/>
    </row>
    <row r="1307" spans="1:19" ht="63" hidden="1">
      <c r="A1307" s="102">
        <v>46078</v>
      </c>
      <c r="B1307" s="16" t="s">
        <v>197</v>
      </c>
      <c r="C1307" s="114" t="s">
        <v>1202</v>
      </c>
      <c r="D1307" s="114" t="s">
        <v>1552</v>
      </c>
      <c r="E1307" s="17" t="s">
        <v>40</v>
      </c>
      <c r="F1307" s="16" t="s">
        <v>71</v>
      </c>
      <c r="G1307" s="114" t="s">
        <v>2473</v>
      </c>
      <c r="H1307" s="16"/>
      <c r="K1307" s="14"/>
      <c r="L1307" s="32"/>
      <c r="M1307" s="14"/>
      <c r="N1307" s="14"/>
    </row>
    <row r="1308" spans="1:19" ht="236.25" hidden="1">
      <c r="A1308" s="102">
        <v>46078</v>
      </c>
      <c r="B1308" s="16" t="s">
        <v>75</v>
      </c>
      <c r="C1308" s="114" t="s">
        <v>25</v>
      </c>
      <c r="D1308" s="114" t="s">
        <v>2474</v>
      </c>
      <c r="E1308" s="17" t="s">
        <v>40</v>
      </c>
      <c r="F1308" s="16" t="s">
        <v>71</v>
      </c>
      <c r="G1308" s="114" t="s">
        <v>2475</v>
      </c>
      <c r="H1308" s="16"/>
      <c r="K1308" s="14"/>
      <c r="L1308" s="32"/>
      <c r="M1308" s="14"/>
      <c r="N1308" s="14"/>
    </row>
    <row r="1309" spans="1:19" ht="47.25" hidden="1">
      <c r="A1309" s="102">
        <v>46079</v>
      </c>
      <c r="B1309" s="16" t="s">
        <v>76</v>
      </c>
      <c r="C1309" s="114" t="s">
        <v>1233</v>
      </c>
      <c r="D1309" s="114" t="s">
        <v>2476</v>
      </c>
      <c r="E1309" s="17" t="s">
        <v>41</v>
      </c>
      <c r="F1309" s="16" t="s">
        <v>71</v>
      </c>
      <c r="G1309" s="114" t="s">
        <v>2477</v>
      </c>
      <c r="H1309" s="16"/>
      <c r="K1309" s="14"/>
      <c r="L1309" s="32"/>
      <c r="M1309" s="14"/>
      <c r="N1309" s="14"/>
    </row>
    <row r="1310" spans="1:19" hidden="1">
      <c r="A1310" s="102">
        <v>46079</v>
      </c>
      <c r="B1310" s="16" t="s">
        <v>75</v>
      </c>
      <c r="C1310" s="114" t="s">
        <v>1233</v>
      </c>
      <c r="D1310" s="114" t="s">
        <v>1242</v>
      </c>
      <c r="E1310" s="17" t="s">
        <v>41</v>
      </c>
      <c r="F1310" s="16" t="s">
        <v>64</v>
      </c>
      <c r="G1310" s="114" t="s">
        <v>2478</v>
      </c>
      <c r="H1310" s="16"/>
      <c r="K1310" s="14"/>
      <c r="L1310" s="32"/>
      <c r="M1310" s="14"/>
      <c r="N1310" s="14"/>
    </row>
    <row r="1311" spans="1:19" hidden="1">
      <c r="A1311" s="102">
        <v>46079</v>
      </c>
      <c r="B1311" s="16" t="s">
        <v>75</v>
      </c>
      <c r="C1311" s="114" t="s">
        <v>2317</v>
      </c>
      <c r="D1311" s="114" t="s">
        <v>2368</v>
      </c>
      <c r="E1311" s="17" t="s">
        <v>41</v>
      </c>
      <c r="F1311" s="16" t="s">
        <v>64</v>
      </c>
      <c r="G1311" s="114" t="s">
        <v>2479</v>
      </c>
      <c r="H1311" s="16"/>
      <c r="K1311" s="14"/>
      <c r="L1311" s="32"/>
      <c r="M1311" s="14"/>
      <c r="N1311" s="14"/>
    </row>
    <row r="1312" spans="1:19" hidden="1">
      <c r="A1312" s="102">
        <v>46079</v>
      </c>
      <c r="B1312" s="16" t="s">
        <v>75</v>
      </c>
      <c r="C1312" s="114" t="s">
        <v>49</v>
      </c>
      <c r="D1312" s="114" t="s">
        <v>2480</v>
      </c>
      <c r="E1312" s="17" t="s">
        <v>41</v>
      </c>
      <c r="F1312" s="16" t="s">
        <v>77</v>
      </c>
      <c r="G1312" s="114" t="s">
        <v>1542</v>
      </c>
      <c r="H1312" s="16"/>
      <c r="K1312" s="14"/>
      <c r="L1312" s="32"/>
      <c r="M1312" s="14"/>
      <c r="N1312" s="14"/>
    </row>
    <row r="1313" spans="1:14" ht="78.75" hidden="1">
      <c r="A1313" s="102">
        <v>46079</v>
      </c>
      <c r="B1313" s="16" t="s">
        <v>75</v>
      </c>
      <c r="C1313" s="114" t="s">
        <v>349</v>
      </c>
      <c r="D1313" s="114" t="s">
        <v>2481</v>
      </c>
      <c r="E1313" s="17" t="s">
        <v>41</v>
      </c>
      <c r="F1313" s="16" t="s">
        <v>64</v>
      </c>
      <c r="G1313" s="114" t="s">
        <v>2482</v>
      </c>
      <c r="H1313" s="16"/>
      <c r="K1313" s="14"/>
      <c r="L1313" s="32"/>
      <c r="M1313" s="14"/>
      <c r="N1313" s="14"/>
    </row>
    <row r="1314" spans="1:14" hidden="1">
      <c r="A1314" s="102">
        <v>46079</v>
      </c>
      <c r="B1314" s="16" t="s">
        <v>75</v>
      </c>
      <c r="C1314" s="114" t="s">
        <v>1810</v>
      </c>
      <c r="D1314" s="114" t="s">
        <v>2483</v>
      </c>
      <c r="E1314" s="17" t="s">
        <v>41</v>
      </c>
      <c r="F1314" s="16" t="s">
        <v>77</v>
      </c>
      <c r="G1314" s="114" t="s">
        <v>129</v>
      </c>
      <c r="H1314" s="16"/>
      <c r="K1314" s="14"/>
      <c r="L1314" s="32"/>
      <c r="M1314" s="14"/>
      <c r="N1314" s="14"/>
    </row>
    <row r="1315" spans="1:14" hidden="1">
      <c r="A1315" s="102">
        <v>46079</v>
      </c>
      <c r="B1315" s="16" t="s">
        <v>75</v>
      </c>
      <c r="C1315" s="114" t="s">
        <v>1810</v>
      </c>
      <c r="D1315" s="114" t="s">
        <v>2484</v>
      </c>
      <c r="E1315" s="17" t="s">
        <v>41</v>
      </c>
      <c r="F1315" s="16" t="s">
        <v>77</v>
      </c>
      <c r="G1315" s="114" t="s">
        <v>129</v>
      </c>
      <c r="H1315" s="16"/>
      <c r="K1315" s="14"/>
      <c r="L1315" s="32"/>
      <c r="M1315" s="14"/>
      <c r="N1315" s="14"/>
    </row>
    <row r="1316" spans="1:14" ht="47.25" hidden="1">
      <c r="A1316" s="102">
        <v>46079</v>
      </c>
      <c r="B1316" s="16" t="s">
        <v>75</v>
      </c>
      <c r="C1316" s="114" t="s">
        <v>1793</v>
      </c>
      <c r="D1316" s="114" t="s">
        <v>1897</v>
      </c>
      <c r="E1316" s="17" t="s">
        <v>41</v>
      </c>
      <c r="F1316" s="16" t="s">
        <v>64</v>
      </c>
      <c r="G1316" s="114" t="s">
        <v>2485</v>
      </c>
      <c r="H1316" s="16"/>
      <c r="K1316" s="14"/>
      <c r="L1316" s="32"/>
      <c r="M1316" s="14"/>
      <c r="N1316" s="14"/>
    </row>
    <row r="1317" spans="1:14" ht="110.25" hidden="1">
      <c r="A1317" s="102">
        <v>46079</v>
      </c>
      <c r="B1317" s="16" t="s">
        <v>75</v>
      </c>
      <c r="C1317" s="114" t="s">
        <v>1247</v>
      </c>
      <c r="D1317" s="114" t="s">
        <v>1248</v>
      </c>
      <c r="E1317" s="17" t="s">
        <v>41</v>
      </c>
      <c r="F1317" s="16" t="s">
        <v>71</v>
      </c>
      <c r="G1317" s="114" t="s">
        <v>2486</v>
      </c>
      <c r="H1317" s="16"/>
      <c r="K1317" s="14"/>
      <c r="L1317" s="32"/>
      <c r="M1317" s="14"/>
      <c r="N1317" s="14"/>
    </row>
    <row r="1318" spans="1:14" ht="47.25" hidden="1">
      <c r="A1318" s="102">
        <v>46079</v>
      </c>
      <c r="B1318" s="16" t="s">
        <v>75</v>
      </c>
      <c r="C1318" s="114" t="s">
        <v>1244</v>
      </c>
      <c r="D1318" s="114" t="s">
        <v>1967</v>
      </c>
      <c r="E1318" s="17" t="s">
        <v>41</v>
      </c>
      <c r="F1318" s="16" t="s">
        <v>71</v>
      </c>
      <c r="G1318" s="114" t="s">
        <v>2487</v>
      </c>
      <c r="H1318" s="16"/>
      <c r="K1318" s="14"/>
      <c r="L1318" s="32"/>
      <c r="M1318" s="14"/>
      <c r="N1318" s="14"/>
    </row>
    <row r="1319" spans="1:14" hidden="1">
      <c r="A1319" s="102">
        <v>46079</v>
      </c>
      <c r="B1319" s="16" t="s">
        <v>75</v>
      </c>
      <c r="C1319" s="114" t="s">
        <v>2317</v>
      </c>
      <c r="D1319" s="114" t="s">
        <v>2366</v>
      </c>
      <c r="E1319" s="17" t="s">
        <v>41</v>
      </c>
      <c r="F1319" s="16" t="s">
        <v>64</v>
      </c>
      <c r="G1319" s="114" t="s">
        <v>2488</v>
      </c>
      <c r="H1319" s="16"/>
      <c r="K1319" s="14"/>
      <c r="L1319" s="32"/>
      <c r="M1319" s="14"/>
      <c r="N1319" s="14"/>
    </row>
    <row r="1320" spans="1:14" hidden="1">
      <c r="A1320" s="102"/>
      <c r="B1320" s="16"/>
      <c r="C1320" s="114"/>
      <c r="D1320" s="114"/>
      <c r="E1320" s="17"/>
      <c r="F1320" s="16"/>
      <c r="G1320" s="114"/>
      <c r="H1320" s="16"/>
      <c r="K1320" s="14"/>
      <c r="L1320" s="32"/>
      <c r="M1320" s="14"/>
      <c r="N1320" s="14"/>
    </row>
    <row r="1321" spans="1:14" hidden="1">
      <c r="A1321" s="102"/>
      <c r="B1321" s="16"/>
      <c r="C1321" s="114"/>
      <c r="D1321" s="114"/>
      <c r="E1321" s="17"/>
      <c r="F1321" s="16"/>
      <c r="G1321" s="114"/>
      <c r="H1321" s="16"/>
      <c r="K1321" s="14"/>
      <c r="L1321" s="32"/>
      <c r="M1321" s="14"/>
      <c r="N1321" s="14"/>
    </row>
    <row r="1322" spans="1:14" hidden="1">
      <c r="A1322" s="102"/>
      <c r="B1322" s="16"/>
      <c r="C1322" s="114"/>
      <c r="D1322" s="114"/>
      <c r="E1322" s="17"/>
      <c r="F1322" s="16"/>
      <c r="G1322" s="114"/>
      <c r="H1322" s="16"/>
      <c r="K1322" s="14"/>
      <c r="L1322" s="32"/>
      <c r="M1322" s="14"/>
      <c r="N1322" s="14"/>
    </row>
    <row r="1323" spans="1:14" hidden="1">
      <c r="A1323" s="102"/>
      <c r="B1323" s="16"/>
      <c r="C1323" s="114"/>
      <c r="D1323" s="114"/>
      <c r="E1323" s="17"/>
      <c r="F1323" s="16"/>
      <c r="G1323" s="114"/>
      <c r="H1323" s="16"/>
      <c r="K1323" s="14"/>
      <c r="L1323" s="32"/>
      <c r="M1323" s="14"/>
      <c r="N1323" s="14"/>
    </row>
    <row r="1324" spans="1:14" hidden="1">
      <c r="A1324" s="102"/>
      <c r="B1324" s="16"/>
      <c r="C1324" s="118"/>
      <c r="D1324" s="118"/>
      <c r="E1324" s="16"/>
      <c r="F1324" s="16"/>
      <c r="G1324" s="114"/>
      <c r="H1324" s="16"/>
      <c r="K1324" s="14"/>
      <c r="L1324" s="32"/>
      <c r="M1324" s="14"/>
      <c r="N1324" s="14"/>
    </row>
    <row r="1325" spans="1:14" hidden="1">
      <c r="A1325" s="105"/>
      <c r="B1325" s="106"/>
      <c r="C1325" s="107"/>
      <c r="D1325" s="107"/>
      <c r="E1325" s="106"/>
      <c r="F1325" s="106"/>
      <c r="G1325" s="93"/>
      <c r="H1325" s="16"/>
      <c r="K1325" s="14"/>
      <c r="L1325" s="32"/>
      <c r="M1325" s="14"/>
      <c r="N1325" s="14"/>
    </row>
    <row r="1326" spans="1:14" hidden="1">
      <c r="A1326" s="105"/>
      <c r="B1326" s="106"/>
      <c r="C1326" s="107"/>
      <c r="D1326" s="107"/>
      <c r="E1326" s="106"/>
      <c r="F1326" s="106"/>
      <c r="G1326" s="93"/>
      <c r="H1326" s="16"/>
      <c r="K1326" s="14"/>
      <c r="L1326" s="32"/>
      <c r="M1326" s="14"/>
      <c r="N1326" s="14"/>
    </row>
    <row r="1327" spans="1:14" hidden="1">
      <c r="A1327" s="105"/>
      <c r="B1327" s="106"/>
      <c r="C1327" s="107"/>
      <c r="D1327" s="107"/>
      <c r="E1327" s="106"/>
      <c r="F1327" s="106"/>
      <c r="G1327" s="93"/>
      <c r="H1327" s="16"/>
      <c r="K1327" s="14"/>
      <c r="L1327" s="32"/>
      <c r="M1327" s="14"/>
      <c r="N1327" s="14"/>
    </row>
    <row r="1328" spans="1:14" hidden="1"/>
    <row r="1329" spans="1:14" hidden="1">
      <c r="A1329" s="3" t="s">
        <v>70</v>
      </c>
      <c r="B1329" s="4" t="s">
        <v>72</v>
      </c>
      <c r="C1329" s="4" t="s">
        <v>16</v>
      </c>
      <c r="D1329" s="34" t="s">
        <v>155</v>
      </c>
      <c r="E1329" s="9" t="s">
        <v>156</v>
      </c>
      <c r="F1329" s="10" t="s">
        <v>157</v>
      </c>
    </row>
    <row r="1330" spans="1:14" hidden="1">
      <c r="A1330" s="135" t="s">
        <v>63</v>
      </c>
      <c r="B1330" s="99" t="s">
        <v>68</v>
      </c>
      <c r="C1330" s="99">
        <v>11</v>
      </c>
      <c r="D1330" s="99">
        <f>C1330</f>
        <v>11</v>
      </c>
      <c r="E1330" s="138">
        <f>D1330+D1332+D1334</f>
        <v>13.333333333333334</v>
      </c>
      <c r="F1330" s="141">
        <f>E1330/12</f>
        <v>1.1111111111111112</v>
      </c>
    </row>
    <row r="1331" spans="1:14" hidden="1">
      <c r="A1331" s="136"/>
      <c r="B1331" s="144" t="s">
        <v>65</v>
      </c>
      <c r="C1331" s="144">
        <v>7</v>
      </c>
      <c r="D1331" s="35" t="s">
        <v>158</v>
      </c>
      <c r="E1331" s="139"/>
      <c r="F1331" s="142"/>
    </row>
    <row r="1332" spans="1:14" hidden="1">
      <c r="A1332" s="136"/>
      <c r="B1332" s="145"/>
      <c r="C1332" s="145"/>
      <c r="D1332" s="16">
        <f>C1331/3</f>
        <v>2.3333333333333335</v>
      </c>
      <c r="E1332" s="139"/>
      <c r="F1332" s="142"/>
    </row>
    <row r="1333" spans="1:14" hidden="1">
      <c r="A1333" s="136"/>
      <c r="B1333" s="144" t="s">
        <v>69</v>
      </c>
      <c r="C1333" s="144">
        <v>21</v>
      </c>
      <c r="D1333" s="35" t="s">
        <v>159</v>
      </c>
      <c r="E1333" s="139"/>
      <c r="F1333" s="142"/>
    </row>
    <row r="1334" spans="1:14" hidden="1">
      <c r="A1334" s="137"/>
      <c r="B1334" s="145"/>
      <c r="C1334" s="145"/>
      <c r="D1334" s="16">
        <v>0</v>
      </c>
      <c r="E1334" s="140"/>
      <c r="F1334" s="143"/>
    </row>
    <row r="1335" spans="1:14" hidden="1">
      <c r="A1335" s="36" t="s">
        <v>70</v>
      </c>
      <c r="B1335" s="37" t="s">
        <v>72</v>
      </c>
      <c r="C1335" s="37" t="s">
        <v>16</v>
      </c>
      <c r="D1335" s="146" t="s">
        <v>160</v>
      </c>
      <c r="E1335" s="147"/>
      <c r="F1335" s="148"/>
    </row>
    <row r="1336" spans="1:14" hidden="1">
      <c r="A1336" s="149" t="s">
        <v>62</v>
      </c>
      <c r="B1336" s="16" t="s">
        <v>68</v>
      </c>
      <c r="C1336" s="16">
        <v>2</v>
      </c>
      <c r="D1336" s="151">
        <f>C1336/9</f>
        <v>0.22222222222222221</v>
      </c>
      <c r="E1336" s="152"/>
      <c r="F1336" s="153"/>
    </row>
    <row r="1337" spans="1:14" ht="16.5" hidden="1" thickBot="1">
      <c r="A1337" s="150"/>
      <c r="B1337" s="20" t="s">
        <v>69</v>
      </c>
      <c r="C1337" s="20">
        <v>0</v>
      </c>
      <c r="D1337" s="154"/>
      <c r="E1337" s="155"/>
      <c r="F1337" s="156"/>
    </row>
    <row r="1338" spans="1:14" hidden="1"/>
    <row r="1339" spans="1:14" hidden="1">
      <c r="A1339" t="s">
        <v>2489</v>
      </c>
    </row>
    <row r="1340" spans="1:14" hidden="1">
      <c r="A1340" s="37" t="s">
        <v>58</v>
      </c>
      <c r="B1340" s="37" t="s">
        <v>67</v>
      </c>
      <c r="C1340" s="37" t="s">
        <v>3</v>
      </c>
      <c r="D1340" s="37" t="s">
        <v>57</v>
      </c>
      <c r="E1340" s="37" t="s">
        <v>59</v>
      </c>
      <c r="F1340" s="37" t="s">
        <v>61</v>
      </c>
      <c r="G1340" s="37" t="s">
        <v>60</v>
      </c>
      <c r="H1340" s="37" t="s">
        <v>66</v>
      </c>
      <c r="K1340" s="14"/>
      <c r="L1340" s="14"/>
      <c r="M1340" s="32"/>
      <c r="N1340" s="14"/>
    </row>
    <row r="1341" spans="1:14" hidden="1">
      <c r="A1341" s="113">
        <v>46083</v>
      </c>
      <c r="B1341" s="17" t="s">
        <v>75</v>
      </c>
      <c r="C1341" s="114" t="s">
        <v>1233</v>
      </c>
      <c r="D1341" s="114" t="s">
        <v>1242</v>
      </c>
      <c r="E1341" s="17" t="s">
        <v>40</v>
      </c>
      <c r="F1341" s="17" t="s">
        <v>71</v>
      </c>
      <c r="G1341" s="114" t="s">
        <v>2490</v>
      </c>
      <c r="H1341" s="17"/>
      <c r="K1341" s="14"/>
      <c r="L1341" s="14"/>
      <c r="M1341" s="14"/>
      <c r="N1341" s="14"/>
    </row>
    <row r="1342" spans="1:14" hidden="1">
      <c r="A1342" s="113">
        <v>46083</v>
      </c>
      <c r="B1342" s="17" t="s">
        <v>76</v>
      </c>
      <c r="C1342" s="114" t="s">
        <v>1233</v>
      </c>
      <c r="D1342" s="114" t="s">
        <v>2491</v>
      </c>
      <c r="E1342" s="17" t="s">
        <v>40</v>
      </c>
      <c r="F1342" s="17" t="s">
        <v>71</v>
      </c>
      <c r="G1342" s="114" t="s">
        <v>2492</v>
      </c>
      <c r="H1342" s="17"/>
      <c r="K1342" s="14"/>
      <c r="L1342" s="14"/>
      <c r="M1342" s="14"/>
      <c r="N1342" s="14"/>
    </row>
    <row r="1343" spans="1:14" ht="31.5" hidden="1">
      <c r="A1343" s="113">
        <v>46083</v>
      </c>
      <c r="B1343" s="17" t="s">
        <v>75</v>
      </c>
      <c r="C1343" s="114" t="s">
        <v>2317</v>
      </c>
      <c r="D1343" s="114" t="s">
        <v>2366</v>
      </c>
      <c r="E1343" s="17" t="s">
        <v>40</v>
      </c>
      <c r="F1343" s="17" t="s">
        <v>71</v>
      </c>
      <c r="G1343" s="114" t="s">
        <v>2493</v>
      </c>
      <c r="H1343" s="17"/>
      <c r="K1343" s="14"/>
      <c r="L1343" s="14"/>
      <c r="M1343" s="14"/>
      <c r="N1343" s="14"/>
    </row>
    <row r="1344" spans="1:14" ht="31.5" hidden="1">
      <c r="A1344" s="113">
        <v>46083</v>
      </c>
      <c r="B1344" s="17" t="s">
        <v>75</v>
      </c>
      <c r="C1344" s="114" t="s">
        <v>1810</v>
      </c>
      <c r="D1344" s="114" t="s">
        <v>412</v>
      </c>
      <c r="E1344" s="17" t="s">
        <v>41</v>
      </c>
      <c r="F1344" s="17" t="s">
        <v>77</v>
      </c>
      <c r="G1344" s="114" t="s">
        <v>2494</v>
      </c>
      <c r="H1344" s="17"/>
      <c r="K1344" s="14"/>
      <c r="L1344" s="32"/>
      <c r="M1344" s="14"/>
      <c r="N1344" s="14"/>
    </row>
    <row r="1345" spans="1:19" hidden="1">
      <c r="A1345" s="113">
        <v>46083</v>
      </c>
      <c r="B1345" s="17" t="s">
        <v>197</v>
      </c>
      <c r="C1345" s="114" t="s">
        <v>1268</v>
      </c>
      <c r="D1345" s="114" t="s">
        <v>1799</v>
      </c>
      <c r="E1345" s="17" t="s">
        <v>41</v>
      </c>
      <c r="F1345" s="17" t="s">
        <v>71</v>
      </c>
      <c r="G1345" s="114" t="s">
        <v>2495</v>
      </c>
      <c r="H1345" s="17"/>
      <c r="K1345" s="14"/>
      <c r="L1345" s="32"/>
      <c r="M1345" s="14"/>
      <c r="N1345" s="14"/>
    </row>
    <row r="1346" spans="1:19" hidden="1">
      <c r="A1346" s="113">
        <v>46084</v>
      </c>
      <c r="B1346" s="17" t="s">
        <v>75</v>
      </c>
      <c r="C1346" s="114" t="s">
        <v>1810</v>
      </c>
      <c r="D1346" s="114" t="s">
        <v>2483</v>
      </c>
      <c r="E1346" s="17" t="s">
        <v>41</v>
      </c>
      <c r="F1346" s="17" t="s">
        <v>77</v>
      </c>
      <c r="G1346" s="114" t="s">
        <v>2496</v>
      </c>
      <c r="H1346" s="17"/>
      <c r="K1346" s="14"/>
      <c r="L1346" s="32"/>
      <c r="M1346" s="14"/>
      <c r="N1346" s="32"/>
    </row>
    <row r="1347" spans="1:19" hidden="1">
      <c r="A1347" s="113">
        <v>46084</v>
      </c>
      <c r="B1347" s="17" t="s">
        <v>75</v>
      </c>
      <c r="C1347" s="114" t="s">
        <v>1247</v>
      </c>
      <c r="D1347" s="114" t="s">
        <v>1248</v>
      </c>
      <c r="E1347" s="17" t="s">
        <v>41</v>
      </c>
      <c r="F1347" s="17" t="s">
        <v>77</v>
      </c>
      <c r="G1347" s="114" t="s">
        <v>129</v>
      </c>
      <c r="H1347" s="17"/>
      <c r="K1347" s="14"/>
      <c r="L1347" s="32"/>
      <c r="M1347" s="14"/>
      <c r="N1347" s="32"/>
    </row>
    <row r="1348" spans="1:19" hidden="1">
      <c r="A1348" s="113">
        <v>46084</v>
      </c>
      <c r="B1348" s="17" t="s">
        <v>75</v>
      </c>
      <c r="C1348" s="114" t="s">
        <v>1261</v>
      </c>
      <c r="D1348" s="114" t="s">
        <v>2497</v>
      </c>
      <c r="E1348" s="17" t="s">
        <v>41</v>
      </c>
      <c r="F1348" s="17" t="s">
        <v>77</v>
      </c>
      <c r="G1348" s="114" t="s">
        <v>129</v>
      </c>
      <c r="H1348" s="17"/>
      <c r="K1348" s="14"/>
      <c r="L1348" s="32"/>
      <c r="M1348" s="14"/>
      <c r="N1348" s="32"/>
    </row>
    <row r="1349" spans="1:19" hidden="1">
      <c r="A1349" s="113">
        <v>46084</v>
      </c>
      <c r="B1349" s="17" t="s">
        <v>75</v>
      </c>
      <c r="C1349" s="114" t="s">
        <v>1261</v>
      </c>
      <c r="D1349" s="114" t="s">
        <v>2498</v>
      </c>
      <c r="E1349" s="17" t="s">
        <v>41</v>
      </c>
      <c r="F1349" s="17" t="s">
        <v>77</v>
      </c>
      <c r="G1349" s="114" t="s">
        <v>129</v>
      </c>
      <c r="H1349" s="17"/>
      <c r="K1349" s="14"/>
      <c r="L1349" s="32"/>
      <c r="M1349" s="14"/>
      <c r="N1349" s="32"/>
    </row>
    <row r="1350" spans="1:19" hidden="1">
      <c r="A1350" s="113">
        <v>46084</v>
      </c>
      <c r="B1350" s="17" t="s">
        <v>75</v>
      </c>
      <c r="C1350" s="114" t="s">
        <v>2499</v>
      </c>
      <c r="D1350" s="114" t="s">
        <v>1573</v>
      </c>
      <c r="E1350" s="17" t="s">
        <v>41</v>
      </c>
      <c r="F1350" s="17" t="s">
        <v>77</v>
      </c>
      <c r="G1350" s="114" t="s">
        <v>1545</v>
      </c>
      <c r="H1350" s="17"/>
      <c r="K1350" s="14"/>
      <c r="L1350" s="46"/>
      <c r="R1350" s="115"/>
    </row>
    <row r="1351" spans="1:19" ht="63" hidden="1">
      <c r="A1351" s="113">
        <v>46084</v>
      </c>
      <c r="B1351" s="17" t="s">
        <v>75</v>
      </c>
      <c r="C1351" s="114" t="s">
        <v>1277</v>
      </c>
      <c r="D1351" s="114" t="s">
        <v>2500</v>
      </c>
      <c r="E1351" s="17" t="s">
        <v>41</v>
      </c>
      <c r="F1351" s="17" t="s">
        <v>77</v>
      </c>
      <c r="G1351" s="114" t="s">
        <v>2501</v>
      </c>
      <c r="H1351" s="17"/>
      <c r="K1351" s="14"/>
      <c r="L1351" s="46"/>
      <c r="R1351" s="115"/>
    </row>
    <row r="1352" spans="1:19" hidden="1">
      <c r="A1352" s="113">
        <v>46084</v>
      </c>
      <c r="B1352" s="17" t="s">
        <v>75</v>
      </c>
      <c r="C1352" s="114" t="s">
        <v>1247</v>
      </c>
      <c r="D1352" s="114" t="s">
        <v>1248</v>
      </c>
      <c r="E1352" s="17" t="s">
        <v>41</v>
      </c>
      <c r="F1352" s="17" t="s">
        <v>64</v>
      </c>
      <c r="G1352" s="114" t="s">
        <v>2502</v>
      </c>
      <c r="H1352" s="17"/>
      <c r="K1352" s="14"/>
      <c r="L1352" s="46"/>
    </row>
    <row r="1353" spans="1:19" hidden="1">
      <c r="A1353" s="113">
        <v>46084</v>
      </c>
      <c r="B1353" s="17" t="s">
        <v>75</v>
      </c>
      <c r="C1353" s="114" t="s">
        <v>1793</v>
      </c>
      <c r="D1353" s="114" t="s">
        <v>1897</v>
      </c>
      <c r="E1353" s="17" t="s">
        <v>41</v>
      </c>
      <c r="F1353" s="17" t="s">
        <v>64</v>
      </c>
      <c r="G1353" s="114" t="s">
        <v>2503</v>
      </c>
      <c r="H1353" s="17"/>
      <c r="K1353" s="14"/>
      <c r="L1353" s="46"/>
    </row>
    <row r="1354" spans="1:19" ht="47.25" hidden="1">
      <c r="A1354" s="113">
        <v>46084</v>
      </c>
      <c r="B1354" s="17" t="s">
        <v>75</v>
      </c>
      <c r="C1354" s="114" t="s">
        <v>2499</v>
      </c>
      <c r="D1354" s="114" t="s">
        <v>2504</v>
      </c>
      <c r="E1354" s="17" t="s">
        <v>41</v>
      </c>
      <c r="F1354" s="17" t="s">
        <v>77</v>
      </c>
      <c r="G1354" s="114" t="s">
        <v>2505</v>
      </c>
      <c r="H1354" s="17"/>
      <c r="K1354" s="14"/>
      <c r="L1354" s="46"/>
    </row>
    <row r="1355" spans="1:19" ht="63" hidden="1">
      <c r="A1355" s="113">
        <v>46084</v>
      </c>
      <c r="B1355" s="17" t="s">
        <v>75</v>
      </c>
      <c r="C1355" s="114" t="s">
        <v>1793</v>
      </c>
      <c r="D1355" s="114" t="s">
        <v>1897</v>
      </c>
      <c r="E1355" s="17" t="s">
        <v>41</v>
      </c>
      <c r="F1355" s="17" t="s">
        <v>65</v>
      </c>
      <c r="G1355" s="114" t="s">
        <v>2506</v>
      </c>
      <c r="H1355" s="17"/>
      <c r="K1355" s="14"/>
      <c r="L1355" s="46"/>
    </row>
    <row r="1356" spans="1:19" s="110" customFormat="1" hidden="1">
      <c r="A1356" s="113">
        <v>46084</v>
      </c>
      <c r="B1356" s="17" t="s">
        <v>75</v>
      </c>
      <c r="C1356" s="114" t="s">
        <v>1485</v>
      </c>
      <c r="D1356" s="114" t="s">
        <v>2507</v>
      </c>
      <c r="E1356" s="17" t="s">
        <v>41</v>
      </c>
      <c r="F1356" s="17" t="s">
        <v>77</v>
      </c>
      <c r="G1356" s="114" t="s">
        <v>129</v>
      </c>
      <c r="H1356" s="116"/>
      <c r="K1356" s="111"/>
      <c r="L1356" s="46"/>
      <c r="M1356"/>
      <c r="N1356"/>
      <c r="O1356"/>
      <c r="P1356"/>
      <c r="Q1356"/>
      <c r="R1356"/>
      <c r="S1356"/>
    </row>
    <row r="1357" spans="1:19" s="110" customFormat="1" hidden="1">
      <c r="A1357" s="113">
        <v>46084</v>
      </c>
      <c r="B1357" s="17" t="s">
        <v>76</v>
      </c>
      <c r="C1357" s="114" t="s">
        <v>1446</v>
      </c>
      <c r="D1357" s="114" t="s">
        <v>2039</v>
      </c>
      <c r="E1357" s="17" t="s">
        <v>41</v>
      </c>
      <c r="F1357" s="17" t="s">
        <v>71</v>
      </c>
      <c r="G1357" s="114" t="s">
        <v>2508</v>
      </c>
      <c r="H1357" s="116"/>
      <c r="K1357" s="111"/>
      <c r="L1357" s="46"/>
      <c r="M1357"/>
      <c r="N1357"/>
      <c r="O1357"/>
      <c r="P1357"/>
      <c r="Q1357"/>
      <c r="R1357"/>
      <c r="S1357"/>
    </row>
    <row r="1358" spans="1:19" ht="173.25" hidden="1">
      <c r="A1358" s="113">
        <v>46084</v>
      </c>
      <c r="B1358" s="17" t="s">
        <v>75</v>
      </c>
      <c r="C1358" s="114" t="s">
        <v>1261</v>
      </c>
      <c r="D1358" s="114" t="s">
        <v>2497</v>
      </c>
      <c r="E1358" s="17" t="s">
        <v>41</v>
      </c>
      <c r="F1358" s="17" t="s">
        <v>77</v>
      </c>
      <c r="G1358" s="114" t="s">
        <v>2509</v>
      </c>
      <c r="H1358" s="17"/>
      <c r="K1358" s="14"/>
      <c r="L1358" s="46"/>
    </row>
    <row r="1359" spans="1:19" hidden="1">
      <c r="A1359" s="113">
        <v>46085</v>
      </c>
      <c r="B1359" s="17" t="s">
        <v>197</v>
      </c>
      <c r="C1359" s="114" t="s">
        <v>2314</v>
      </c>
      <c r="D1359" s="114" t="s">
        <v>2386</v>
      </c>
      <c r="E1359" s="17" t="s">
        <v>41</v>
      </c>
      <c r="F1359" s="17" t="s">
        <v>77</v>
      </c>
      <c r="G1359" s="114" t="s">
        <v>2510</v>
      </c>
      <c r="H1359" s="17"/>
      <c r="K1359" s="14"/>
      <c r="L1359" s="46"/>
    </row>
    <row r="1360" spans="1:19" ht="31.5" hidden="1">
      <c r="A1360" s="113">
        <v>46085</v>
      </c>
      <c r="B1360" s="17" t="s">
        <v>75</v>
      </c>
      <c r="C1360" s="114" t="s">
        <v>1793</v>
      </c>
      <c r="D1360" s="114" t="s">
        <v>1897</v>
      </c>
      <c r="E1360" s="17" t="s">
        <v>41</v>
      </c>
      <c r="F1360" s="17" t="s">
        <v>77</v>
      </c>
      <c r="G1360" s="114" t="s">
        <v>2511</v>
      </c>
      <c r="H1360" s="17"/>
      <c r="K1360" s="14"/>
      <c r="L1360" s="46"/>
    </row>
    <row r="1361" spans="1:19" hidden="1">
      <c r="A1361" s="113">
        <v>46085</v>
      </c>
      <c r="B1361" s="17" t="s">
        <v>75</v>
      </c>
      <c r="C1361" s="114" t="s">
        <v>2317</v>
      </c>
      <c r="D1361" s="114" t="s">
        <v>2366</v>
      </c>
      <c r="E1361" s="17" t="s">
        <v>41</v>
      </c>
      <c r="F1361" s="17" t="s">
        <v>64</v>
      </c>
      <c r="G1361" s="114" t="s">
        <v>2512</v>
      </c>
      <c r="H1361" s="17"/>
      <c r="K1361" s="14"/>
      <c r="L1361" s="46"/>
      <c r="S1361" s="46"/>
    </row>
    <row r="1362" spans="1:19" ht="31.5" hidden="1">
      <c r="A1362" s="113">
        <v>46085</v>
      </c>
      <c r="B1362" s="17" t="s">
        <v>75</v>
      </c>
      <c r="C1362" s="114" t="s">
        <v>2317</v>
      </c>
      <c r="D1362" s="114" t="s">
        <v>2513</v>
      </c>
      <c r="E1362" s="17" t="s">
        <v>41</v>
      </c>
      <c r="F1362" s="16" t="s">
        <v>77</v>
      </c>
      <c r="G1362" s="114" t="s">
        <v>2514</v>
      </c>
      <c r="H1362" s="16"/>
      <c r="K1362" s="14"/>
      <c r="L1362" s="46"/>
    </row>
    <row r="1363" spans="1:19" hidden="1">
      <c r="A1363" s="113">
        <v>46085</v>
      </c>
      <c r="B1363" s="16" t="s">
        <v>75</v>
      </c>
      <c r="C1363" s="114" t="s">
        <v>1230</v>
      </c>
      <c r="D1363" s="114" t="s">
        <v>1550</v>
      </c>
      <c r="E1363" s="17" t="s">
        <v>41</v>
      </c>
      <c r="F1363" s="16" t="s">
        <v>64</v>
      </c>
      <c r="G1363" s="114" t="s">
        <v>2515</v>
      </c>
      <c r="H1363" s="16"/>
      <c r="K1363" s="14"/>
      <c r="L1363" s="46"/>
    </row>
    <row r="1364" spans="1:19" ht="31.5" hidden="1">
      <c r="A1364" s="113">
        <v>46085</v>
      </c>
      <c r="B1364" s="16" t="s">
        <v>75</v>
      </c>
      <c r="C1364" s="114" t="s">
        <v>1452</v>
      </c>
      <c r="D1364" s="114" t="s">
        <v>1483</v>
      </c>
      <c r="E1364" s="17" t="s">
        <v>41</v>
      </c>
      <c r="F1364" s="16" t="s">
        <v>71</v>
      </c>
      <c r="G1364" s="114" t="s">
        <v>2516</v>
      </c>
      <c r="H1364" s="16"/>
      <c r="K1364" s="14"/>
      <c r="L1364" s="46"/>
    </row>
    <row r="1365" spans="1:19" ht="63" hidden="1">
      <c r="A1365" s="113">
        <v>46086</v>
      </c>
      <c r="B1365" s="16" t="s">
        <v>197</v>
      </c>
      <c r="C1365" s="114" t="s">
        <v>1376</v>
      </c>
      <c r="D1365" s="114" t="s">
        <v>1502</v>
      </c>
      <c r="E1365" s="17" t="s">
        <v>41</v>
      </c>
      <c r="F1365" s="16" t="s">
        <v>71</v>
      </c>
      <c r="G1365" s="114" t="s">
        <v>2517</v>
      </c>
      <c r="H1365" s="16"/>
      <c r="K1365" s="14"/>
    </row>
    <row r="1366" spans="1:19" ht="31.5" hidden="1">
      <c r="A1366" s="113">
        <v>46086</v>
      </c>
      <c r="B1366" s="16" t="s">
        <v>76</v>
      </c>
      <c r="C1366" s="114" t="s">
        <v>1236</v>
      </c>
      <c r="D1366" s="114" t="s">
        <v>2518</v>
      </c>
      <c r="E1366" s="17" t="s">
        <v>41</v>
      </c>
      <c r="F1366" s="16" t="s">
        <v>77</v>
      </c>
      <c r="G1366" s="114" t="s">
        <v>2519</v>
      </c>
      <c r="H1366" s="16"/>
      <c r="K1366" s="14"/>
    </row>
    <row r="1367" spans="1:19" ht="31.5" hidden="1">
      <c r="A1367" s="113">
        <v>46086</v>
      </c>
      <c r="B1367" s="16" t="s">
        <v>75</v>
      </c>
      <c r="C1367" s="114" t="s">
        <v>407</v>
      </c>
      <c r="D1367" s="114" t="s">
        <v>423</v>
      </c>
      <c r="E1367" s="17" t="s">
        <v>41</v>
      </c>
      <c r="F1367" s="16" t="s">
        <v>77</v>
      </c>
      <c r="G1367" s="114" t="s">
        <v>2520</v>
      </c>
      <c r="H1367" s="16"/>
      <c r="K1367" s="14"/>
    </row>
    <row r="1368" spans="1:19" hidden="1">
      <c r="A1368" s="113">
        <v>46086</v>
      </c>
      <c r="B1368" s="16" t="s">
        <v>75</v>
      </c>
      <c r="C1368" s="114" t="s">
        <v>476</v>
      </c>
      <c r="D1368" s="114" t="s">
        <v>478</v>
      </c>
      <c r="E1368" s="17" t="s">
        <v>41</v>
      </c>
      <c r="F1368" s="16" t="s">
        <v>64</v>
      </c>
      <c r="G1368" s="114" t="s">
        <v>2521</v>
      </c>
      <c r="H1368" s="16"/>
      <c r="K1368" s="14"/>
      <c r="L1368" s="32"/>
      <c r="M1368" s="14"/>
      <c r="N1368" s="14"/>
    </row>
    <row r="1369" spans="1:19" hidden="1">
      <c r="A1369" s="113">
        <v>46086</v>
      </c>
      <c r="B1369" s="16" t="s">
        <v>75</v>
      </c>
      <c r="C1369" s="114" t="s">
        <v>979</v>
      </c>
      <c r="D1369" s="114" t="s">
        <v>2025</v>
      </c>
      <c r="E1369" s="17" t="s">
        <v>41</v>
      </c>
      <c r="F1369" s="16" t="s">
        <v>77</v>
      </c>
      <c r="G1369" s="114" t="s">
        <v>129</v>
      </c>
      <c r="H1369" s="16"/>
      <c r="K1369" s="14"/>
      <c r="L1369" s="32"/>
      <c r="M1369" s="14"/>
      <c r="N1369" s="14"/>
    </row>
    <row r="1370" spans="1:19" ht="63" hidden="1">
      <c r="A1370" s="113">
        <v>46086</v>
      </c>
      <c r="B1370" s="16" t="s">
        <v>75</v>
      </c>
      <c r="C1370" s="114" t="s">
        <v>1227</v>
      </c>
      <c r="D1370" s="114" t="s">
        <v>1946</v>
      </c>
      <c r="E1370" s="17" t="s">
        <v>41</v>
      </c>
      <c r="F1370" s="16" t="s">
        <v>77</v>
      </c>
      <c r="G1370" s="114" t="s">
        <v>2522</v>
      </c>
      <c r="H1370" s="16"/>
      <c r="K1370" s="14"/>
      <c r="L1370" s="32"/>
      <c r="M1370" s="14"/>
      <c r="N1370" s="14"/>
    </row>
    <row r="1371" spans="1:19" hidden="1">
      <c r="A1371" s="113">
        <v>46086</v>
      </c>
      <c r="B1371" s="16" t="s">
        <v>75</v>
      </c>
      <c r="C1371" s="114" t="s">
        <v>561</v>
      </c>
      <c r="D1371" s="114" t="s">
        <v>2523</v>
      </c>
      <c r="E1371" s="17" t="s">
        <v>41</v>
      </c>
      <c r="F1371" s="16" t="s">
        <v>77</v>
      </c>
      <c r="G1371" s="114" t="s">
        <v>2524</v>
      </c>
      <c r="H1371" s="16"/>
      <c r="K1371" s="14"/>
      <c r="L1371" s="32"/>
      <c r="M1371" s="14"/>
      <c r="N1371" s="14"/>
    </row>
    <row r="1372" spans="1:19" hidden="1">
      <c r="A1372" s="113">
        <v>46086</v>
      </c>
      <c r="B1372" s="16" t="s">
        <v>75</v>
      </c>
      <c r="C1372" s="114" t="s">
        <v>42</v>
      </c>
      <c r="D1372" s="114" t="s">
        <v>2525</v>
      </c>
      <c r="E1372" s="17" t="s">
        <v>41</v>
      </c>
      <c r="F1372" s="16" t="s">
        <v>77</v>
      </c>
      <c r="G1372" s="114" t="s">
        <v>129</v>
      </c>
      <c r="H1372" s="16"/>
      <c r="K1372" s="14"/>
      <c r="L1372" s="32"/>
      <c r="M1372" s="14"/>
      <c r="N1372" s="14"/>
    </row>
    <row r="1373" spans="1:19" ht="63" hidden="1">
      <c r="A1373" s="113">
        <v>46086</v>
      </c>
      <c r="B1373" s="16" t="s">
        <v>75</v>
      </c>
      <c r="C1373" s="114" t="s">
        <v>2526</v>
      </c>
      <c r="D1373" s="114" t="s">
        <v>2527</v>
      </c>
      <c r="E1373" s="17" t="s">
        <v>41</v>
      </c>
      <c r="F1373" s="16" t="s">
        <v>64</v>
      </c>
      <c r="G1373" s="114" t="s">
        <v>2528</v>
      </c>
      <c r="H1373" s="16"/>
      <c r="K1373" s="14"/>
      <c r="L1373" s="32"/>
      <c r="M1373" s="14"/>
      <c r="N1373" s="14"/>
    </row>
    <row r="1374" spans="1:19" ht="157.5" hidden="1">
      <c r="A1374" s="102">
        <v>46087</v>
      </c>
      <c r="B1374" s="16" t="s">
        <v>75</v>
      </c>
      <c r="C1374" s="114" t="s">
        <v>2317</v>
      </c>
      <c r="D1374" s="114" t="s">
        <v>2368</v>
      </c>
      <c r="E1374" s="17" t="s">
        <v>40</v>
      </c>
      <c r="F1374" s="16" t="s">
        <v>77</v>
      </c>
      <c r="G1374" s="114" t="s">
        <v>2529</v>
      </c>
      <c r="H1374" s="16"/>
      <c r="K1374" s="14"/>
      <c r="L1374" s="32"/>
      <c r="M1374" s="14"/>
      <c r="N1374" s="14"/>
    </row>
    <row r="1375" spans="1:19" ht="252" hidden="1">
      <c r="A1375" s="102">
        <v>46087</v>
      </c>
      <c r="B1375" s="16" t="s">
        <v>75</v>
      </c>
      <c r="C1375" s="114" t="s">
        <v>1247</v>
      </c>
      <c r="D1375" s="114" t="s">
        <v>1248</v>
      </c>
      <c r="E1375" s="17" t="s">
        <v>40</v>
      </c>
      <c r="F1375" s="16" t="s">
        <v>71</v>
      </c>
      <c r="G1375" s="114" t="s">
        <v>2530</v>
      </c>
      <c r="H1375" s="16"/>
      <c r="K1375" s="14"/>
      <c r="L1375" s="32"/>
      <c r="M1375" s="14"/>
      <c r="N1375" s="14"/>
    </row>
    <row r="1376" spans="1:19" hidden="1">
      <c r="A1376" s="102">
        <v>46087</v>
      </c>
      <c r="B1376" s="16" t="s">
        <v>76</v>
      </c>
      <c r="C1376" s="114" t="s">
        <v>49</v>
      </c>
      <c r="D1376" s="114" t="s">
        <v>195</v>
      </c>
      <c r="E1376" s="17" t="s">
        <v>40</v>
      </c>
      <c r="F1376" s="16" t="s">
        <v>77</v>
      </c>
      <c r="G1376" s="114" t="s">
        <v>2531</v>
      </c>
      <c r="H1376" s="16"/>
      <c r="K1376" s="14"/>
      <c r="L1376" s="32"/>
      <c r="M1376" s="14"/>
      <c r="N1376" s="14"/>
    </row>
    <row r="1377" spans="1:14" hidden="1">
      <c r="A1377" s="102">
        <v>46087</v>
      </c>
      <c r="B1377" s="16" t="s">
        <v>76</v>
      </c>
      <c r="C1377" s="114" t="s">
        <v>2314</v>
      </c>
      <c r="D1377" s="114" t="s">
        <v>2386</v>
      </c>
      <c r="E1377" s="17" t="s">
        <v>41</v>
      </c>
      <c r="F1377" s="16" t="s">
        <v>71</v>
      </c>
      <c r="G1377" s="114" t="s">
        <v>2532</v>
      </c>
      <c r="H1377" s="16"/>
      <c r="K1377" s="14"/>
      <c r="L1377" s="32"/>
      <c r="M1377" s="14"/>
      <c r="N1377" s="14"/>
    </row>
    <row r="1378" spans="1:14" hidden="1">
      <c r="A1378" s="102">
        <v>46087</v>
      </c>
      <c r="B1378" s="16" t="s">
        <v>76</v>
      </c>
      <c r="C1378" s="114" t="s">
        <v>1233</v>
      </c>
      <c r="D1378" s="114" t="s">
        <v>2533</v>
      </c>
      <c r="E1378" s="17" t="s">
        <v>41</v>
      </c>
      <c r="F1378" s="16" t="s">
        <v>71</v>
      </c>
      <c r="G1378" s="114" t="s">
        <v>2532</v>
      </c>
      <c r="H1378" s="16"/>
      <c r="K1378" s="14"/>
      <c r="L1378" s="32"/>
      <c r="M1378" s="14"/>
      <c r="N1378" s="14"/>
    </row>
    <row r="1379" spans="1:14" hidden="1">
      <c r="A1379" s="102"/>
      <c r="B1379" s="16"/>
      <c r="C1379" s="114"/>
      <c r="D1379" s="114"/>
      <c r="E1379" s="17"/>
      <c r="F1379" s="16"/>
      <c r="G1379" s="114"/>
      <c r="H1379" s="16"/>
      <c r="K1379" s="14"/>
      <c r="L1379" s="32"/>
      <c r="M1379" s="14"/>
      <c r="N1379" s="14"/>
    </row>
    <row r="1380" spans="1:14" hidden="1">
      <c r="A1380" s="102"/>
      <c r="B1380" s="16"/>
      <c r="C1380" s="114"/>
      <c r="D1380" s="114"/>
      <c r="E1380" s="17"/>
      <c r="F1380" s="16"/>
      <c r="G1380" s="114"/>
      <c r="H1380" s="16"/>
      <c r="K1380" s="14"/>
      <c r="L1380" s="32"/>
      <c r="M1380" s="14"/>
      <c r="N1380" s="14"/>
    </row>
    <row r="1381" spans="1:14" hidden="1">
      <c r="A1381" s="102"/>
      <c r="B1381" s="16"/>
      <c r="C1381" s="114"/>
      <c r="D1381" s="114"/>
      <c r="E1381" s="17"/>
      <c r="F1381" s="16"/>
      <c r="G1381" s="114"/>
      <c r="H1381" s="16"/>
      <c r="K1381" s="14"/>
      <c r="L1381" s="32"/>
      <c r="M1381" s="14"/>
      <c r="N1381" s="14"/>
    </row>
    <row r="1382" spans="1:14" hidden="1">
      <c r="A1382" s="102"/>
      <c r="B1382" s="16"/>
      <c r="C1382" s="114"/>
      <c r="D1382" s="114"/>
      <c r="E1382" s="17"/>
      <c r="F1382" s="16"/>
      <c r="G1382" s="114"/>
      <c r="H1382" s="16"/>
      <c r="K1382" s="14"/>
      <c r="L1382" s="32"/>
      <c r="M1382" s="14"/>
      <c r="N1382" s="14"/>
    </row>
    <row r="1383" spans="1:14" hidden="1">
      <c r="A1383" s="102"/>
      <c r="B1383" s="16"/>
      <c r="C1383" s="114"/>
      <c r="D1383" s="114"/>
      <c r="E1383" s="17"/>
      <c r="F1383" s="16"/>
      <c r="G1383" s="114"/>
      <c r="H1383" s="16"/>
      <c r="K1383" s="14"/>
      <c r="L1383" s="32"/>
      <c r="M1383" s="14"/>
      <c r="N1383" s="14"/>
    </row>
    <row r="1384" spans="1:14" hidden="1">
      <c r="A1384" s="102"/>
      <c r="B1384" s="16"/>
      <c r="C1384" s="114"/>
      <c r="D1384" s="114"/>
      <c r="E1384" s="17"/>
      <c r="F1384" s="16"/>
      <c r="G1384" s="114"/>
      <c r="H1384" s="16"/>
      <c r="K1384" s="14"/>
      <c r="L1384" s="32"/>
      <c r="M1384" s="14"/>
      <c r="N1384" s="14"/>
    </row>
    <row r="1385" spans="1:14" hidden="1">
      <c r="A1385" s="102"/>
      <c r="B1385" s="16"/>
      <c r="C1385" s="114"/>
      <c r="D1385" s="114"/>
      <c r="E1385" s="17"/>
      <c r="F1385" s="16"/>
      <c r="G1385" s="114"/>
      <c r="H1385" s="16"/>
      <c r="K1385" s="14"/>
      <c r="L1385" s="32"/>
      <c r="M1385" s="14"/>
      <c r="N1385" s="14"/>
    </row>
    <row r="1386" spans="1:14" hidden="1">
      <c r="A1386" s="102"/>
      <c r="B1386" s="16"/>
      <c r="C1386" s="114"/>
      <c r="D1386" s="114"/>
      <c r="E1386" s="17"/>
      <c r="F1386" s="16"/>
      <c r="G1386" s="114"/>
      <c r="H1386" s="16"/>
      <c r="K1386" s="14"/>
      <c r="L1386" s="32"/>
      <c r="M1386" s="14"/>
      <c r="N1386" s="14"/>
    </row>
    <row r="1387" spans="1:14" hidden="1">
      <c r="A1387" s="102"/>
      <c r="B1387" s="16"/>
      <c r="C1387" s="118"/>
      <c r="D1387" s="118"/>
      <c r="E1387" s="16"/>
      <c r="F1387" s="16"/>
      <c r="G1387" s="114"/>
      <c r="H1387" s="16"/>
      <c r="K1387" s="14"/>
      <c r="L1387" s="32"/>
      <c r="M1387" s="14"/>
      <c r="N1387" s="14"/>
    </row>
    <row r="1388" spans="1:14" hidden="1">
      <c r="A1388" s="105"/>
      <c r="B1388" s="106"/>
      <c r="C1388" s="107"/>
      <c r="D1388" s="107"/>
      <c r="E1388" s="106"/>
      <c r="F1388" s="106"/>
      <c r="G1388" s="93"/>
      <c r="H1388" s="16"/>
      <c r="K1388" s="14"/>
      <c r="L1388" s="32"/>
      <c r="M1388" s="14"/>
      <c r="N1388" s="14"/>
    </row>
    <row r="1389" spans="1:14" hidden="1">
      <c r="A1389" s="105"/>
      <c r="B1389" s="106"/>
      <c r="C1389" s="107"/>
      <c r="D1389" s="107"/>
      <c r="E1389" s="106"/>
      <c r="F1389" s="106"/>
      <c r="G1389" s="93"/>
      <c r="H1389" s="16"/>
      <c r="K1389" s="14"/>
      <c r="L1389" s="32"/>
      <c r="M1389" s="14"/>
      <c r="N1389" s="14"/>
    </row>
    <row r="1390" spans="1:14" hidden="1">
      <c r="A1390" s="105"/>
      <c r="B1390" s="106"/>
      <c r="C1390" s="107"/>
      <c r="D1390" s="107"/>
      <c r="E1390" s="106"/>
      <c r="F1390" s="106"/>
      <c r="G1390" s="93"/>
      <c r="H1390" s="16"/>
      <c r="K1390" s="14"/>
      <c r="L1390" s="32"/>
      <c r="M1390" s="14"/>
      <c r="N1390" s="14"/>
    </row>
    <row r="1391" spans="1:14" hidden="1"/>
    <row r="1392" spans="1:14" hidden="1">
      <c r="A1392" s="3" t="s">
        <v>70</v>
      </c>
      <c r="B1392" s="4" t="s">
        <v>72</v>
      </c>
      <c r="C1392" s="4" t="s">
        <v>16</v>
      </c>
      <c r="D1392" s="34" t="s">
        <v>155</v>
      </c>
      <c r="E1392" s="9" t="s">
        <v>156</v>
      </c>
      <c r="F1392" s="10" t="s">
        <v>157</v>
      </c>
    </row>
    <row r="1393" spans="1:14" hidden="1">
      <c r="A1393" s="135" t="s">
        <v>63</v>
      </c>
      <c r="B1393" s="99" t="s">
        <v>68</v>
      </c>
      <c r="C1393" s="99">
        <v>6</v>
      </c>
      <c r="D1393" s="99">
        <f>C1393</f>
        <v>6</v>
      </c>
      <c r="E1393" s="138">
        <f>D1393+D1395+D1397</f>
        <v>8.3333333333333339</v>
      </c>
      <c r="F1393" s="141">
        <f>E1393/12</f>
        <v>0.69444444444444453</v>
      </c>
    </row>
    <row r="1394" spans="1:14" hidden="1">
      <c r="A1394" s="136"/>
      <c r="B1394" s="144" t="s">
        <v>65</v>
      </c>
      <c r="C1394" s="144">
        <v>7</v>
      </c>
      <c r="D1394" s="35" t="s">
        <v>158</v>
      </c>
      <c r="E1394" s="139"/>
      <c r="F1394" s="142"/>
    </row>
    <row r="1395" spans="1:14" hidden="1">
      <c r="A1395" s="136"/>
      <c r="B1395" s="145"/>
      <c r="C1395" s="145"/>
      <c r="D1395" s="16">
        <f>C1394/3</f>
        <v>2.3333333333333335</v>
      </c>
      <c r="E1395" s="139"/>
      <c r="F1395" s="142"/>
    </row>
    <row r="1396" spans="1:14" hidden="1">
      <c r="A1396" s="136"/>
      <c r="B1396" s="144" t="s">
        <v>69</v>
      </c>
      <c r="C1396" s="144">
        <v>19</v>
      </c>
      <c r="D1396" s="35" t="s">
        <v>159</v>
      </c>
      <c r="E1396" s="139"/>
      <c r="F1396" s="142"/>
    </row>
    <row r="1397" spans="1:14" hidden="1">
      <c r="A1397" s="137"/>
      <c r="B1397" s="145"/>
      <c r="C1397" s="145"/>
      <c r="D1397" s="16">
        <v>0</v>
      </c>
      <c r="E1397" s="140"/>
      <c r="F1397" s="143"/>
    </row>
    <row r="1398" spans="1:14" hidden="1">
      <c r="A1398" s="36" t="s">
        <v>70</v>
      </c>
      <c r="B1398" s="37" t="s">
        <v>72</v>
      </c>
      <c r="C1398" s="37" t="s">
        <v>16</v>
      </c>
      <c r="D1398" s="146" t="s">
        <v>160</v>
      </c>
      <c r="E1398" s="147"/>
      <c r="F1398" s="148"/>
    </row>
    <row r="1399" spans="1:14" hidden="1">
      <c r="A1399" s="149" t="s">
        <v>62</v>
      </c>
      <c r="B1399" s="16" t="s">
        <v>68</v>
      </c>
      <c r="C1399" s="16">
        <v>4</v>
      </c>
      <c r="D1399" s="151">
        <f>C1399/9</f>
        <v>0.44444444444444442</v>
      </c>
      <c r="E1399" s="152"/>
      <c r="F1399" s="153"/>
    </row>
    <row r="1400" spans="1:14" ht="16.5" hidden="1" thickBot="1">
      <c r="A1400" s="150"/>
      <c r="B1400" s="20" t="s">
        <v>69</v>
      </c>
      <c r="C1400" s="20">
        <v>2</v>
      </c>
      <c r="D1400" s="154"/>
      <c r="E1400" s="155"/>
      <c r="F1400" s="156"/>
    </row>
    <row r="1401" spans="1:14" hidden="1"/>
    <row r="1402" spans="1:14" hidden="1">
      <c r="A1402" t="s">
        <v>2534</v>
      </c>
    </row>
    <row r="1403" spans="1:14" hidden="1">
      <c r="A1403" s="37" t="s">
        <v>58</v>
      </c>
      <c r="B1403" s="37" t="s">
        <v>67</v>
      </c>
      <c r="C1403" s="37" t="s">
        <v>3</v>
      </c>
      <c r="D1403" s="37" t="s">
        <v>57</v>
      </c>
      <c r="E1403" s="37" t="s">
        <v>59</v>
      </c>
      <c r="F1403" s="37" t="s">
        <v>61</v>
      </c>
      <c r="G1403" s="37" t="s">
        <v>60</v>
      </c>
      <c r="H1403" s="37" t="s">
        <v>66</v>
      </c>
      <c r="K1403" s="14"/>
      <c r="L1403" s="14"/>
      <c r="M1403" s="32"/>
      <c r="N1403" s="14"/>
    </row>
    <row r="1404" spans="1:14" ht="157.5" hidden="1">
      <c r="A1404" s="113">
        <v>46090</v>
      </c>
      <c r="B1404" s="17" t="s">
        <v>75</v>
      </c>
      <c r="C1404" s="114" t="s">
        <v>1230</v>
      </c>
      <c r="D1404" s="114" t="s">
        <v>1273</v>
      </c>
      <c r="E1404" s="17" t="s">
        <v>40</v>
      </c>
      <c r="F1404" s="17" t="s">
        <v>71</v>
      </c>
      <c r="G1404" s="114" t="s">
        <v>2535</v>
      </c>
      <c r="H1404" s="17"/>
      <c r="K1404" s="14"/>
      <c r="L1404" s="14"/>
      <c r="M1404" s="14"/>
      <c r="N1404" s="14"/>
    </row>
    <row r="1405" spans="1:14" ht="31.5" hidden="1">
      <c r="A1405" s="113">
        <v>46090</v>
      </c>
      <c r="B1405" s="17" t="s">
        <v>91</v>
      </c>
      <c r="C1405" s="114" t="s">
        <v>459</v>
      </c>
      <c r="D1405" s="114" t="s">
        <v>461</v>
      </c>
      <c r="E1405" s="17" t="s">
        <v>41</v>
      </c>
      <c r="F1405" s="17" t="s">
        <v>71</v>
      </c>
      <c r="G1405" s="114" t="s">
        <v>2536</v>
      </c>
      <c r="H1405" s="17"/>
      <c r="K1405" s="14"/>
      <c r="L1405" s="14"/>
      <c r="M1405" s="14"/>
      <c r="N1405" s="14"/>
    </row>
    <row r="1406" spans="1:14" hidden="1">
      <c r="A1406" s="113">
        <v>46090</v>
      </c>
      <c r="B1406" s="17" t="s">
        <v>76</v>
      </c>
      <c r="C1406" s="114" t="s">
        <v>1233</v>
      </c>
      <c r="D1406" s="114" t="s">
        <v>2537</v>
      </c>
      <c r="E1406" s="17" t="s">
        <v>41</v>
      </c>
      <c r="F1406" s="17" t="s">
        <v>71</v>
      </c>
      <c r="G1406" s="114" t="s">
        <v>2538</v>
      </c>
      <c r="H1406" s="17"/>
      <c r="K1406" s="14"/>
      <c r="L1406" s="14"/>
      <c r="M1406" s="14"/>
      <c r="N1406" s="14"/>
    </row>
    <row r="1407" spans="1:14" ht="31.5" hidden="1">
      <c r="A1407" s="113">
        <v>46090</v>
      </c>
      <c r="B1407" s="17" t="s">
        <v>75</v>
      </c>
      <c r="C1407" s="114" t="s">
        <v>2539</v>
      </c>
      <c r="D1407" s="114" t="s">
        <v>2540</v>
      </c>
      <c r="E1407" s="17" t="s">
        <v>41</v>
      </c>
      <c r="F1407" s="17" t="s">
        <v>64</v>
      </c>
      <c r="G1407" s="114" t="s">
        <v>2541</v>
      </c>
      <c r="H1407" s="17"/>
      <c r="K1407" s="14"/>
      <c r="L1407" s="32"/>
      <c r="M1407" s="14"/>
      <c r="N1407" s="14"/>
    </row>
    <row r="1408" spans="1:14" hidden="1">
      <c r="A1408" s="113">
        <v>46091</v>
      </c>
      <c r="B1408" s="17" t="s">
        <v>76</v>
      </c>
      <c r="C1408" s="114" t="s">
        <v>1233</v>
      </c>
      <c r="D1408" s="114" t="s">
        <v>2537</v>
      </c>
      <c r="E1408" s="17" t="s">
        <v>41</v>
      </c>
      <c r="F1408" s="17" t="s">
        <v>71</v>
      </c>
      <c r="G1408" s="114" t="s">
        <v>2542</v>
      </c>
      <c r="H1408" s="17"/>
      <c r="K1408" s="14"/>
      <c r="L1408" s="32"/>
      <c r="M1408" s="14"/>
      <c r="N1408" s="14"/>
    </row>
    <row r="1409" spans="1:18" ht="47.25" hidden="1">
      <c r="A1409" s="113">
        <v>46091</v>
      </c>
      <c r="B1409" s="17" t="s">
        <v>75</v>
      </c>
      <c r="C1409" s="114" t="s">
        <v>2543</v>
      </c>
      <c r="D1409" s="114" t="s">
        <v>2544</v>
      </c>
      <c r="E1409" s="17" t="s">
        <v>41</v>
      </c>
      <c r="F1409" s="17" t="s">
        <v>71</v>
      </c>
      <c r="G1409" s="114" t="s">
        <v>2545</v>
      </c>
      <c r="H1409" s="17"/>
      <c r="K1409" s="14"/>
      <c r="L1409" s="32"/>
      <c r="M1409" s="14"/>
      <c r="N1409" s="14"/>
    </row>
    <row r="1410" spans="1:18" ht="31.5" hidden="1">
      <c r="A1410" s="113">
        <v>46091</v>
      </c>
      <c r="B1410" s="17" t="s">
        <v>75</v>
      </c>
      <c r="C1410" s="114" t="s">
        <v>1247</v>
      </c>
      <c r="D1410" s="114" t="s">
        <v>1248</v>
      </c>
      <c r="E1410" s="17" t="s">
        <v>41</v>
      </c>
      <c r="F1410" s="17" t="s">
        <v>71</v>
      </c>
      <c r="G1410" s="114" t="s">
        <v>2546</v>
      </c>
      <c r="H1410" s="17"/>
      <c r="K1410" s="14"/>
      <c r="L1410" s="32"/>
      <c r="M1410" s="14"/>
      <c r="N1410" s="14"/>
    </row>
    <row r="1411" spans="1:18" ht="31.5" hidden="1">
      <c r="A1411" s="113">
        <v>46092</v>
      </c>
      <c r="B1411" s="17" t="s">
        <v>76</v>
      </c>
      <c r="C1411" s="114" t="s">
        <v>1233</v>
      </c>
      <c r="D1411" s="114" t="s">
        <v>2547</v>
      </c>
      <c r="E1411" s="17" t="s">
        <v>41</v>
      </c>
      <c r="F1411" s="17" t="s">
        <v>64</v>
      </c>
      <c r="G1411" s="114" t="s">
        <v>2548</v>
      </c>
      <c r="H1411" s="17"/>
      <c r="K1411" s="14"/>
      <c r="L1411" s="32"/>
      <c r="M1411" s="14"/>
      <c r="N1411" s="14"/>
    </row>
    <row r="1412" spans="1:18" ht="31.5" hidden="1">
      <c r="A1412" s="113">
        <v>46092</v>
      </c>
      <c r="B1412" s="17" t="s">
        <v>75</v>
      </c>
      <c r="C1412" s="114" t="s">
        <v>2539</v>
      </c>
      <c r="D1412" s="114" t="s">
        <v>2540</v>
      </c>
      <c r="E1412" s="17" t="s">
        <v>41</v>
      </c>
      <c r="F1412" s="17" t="s">
        <v>64</v>
      </c>
      <c r="G1412" s="114" t="s">
        <v>2549</v>
      </c>
      <c r="H1412" s="17"/>
      <c r="K1412" s="14"/>
      <c r="L1412" s="32"/>
      <c r="M1412" s="14"/>
      <c r="N1412" s="14"/>
    </row>
    <row r="1413" spans="1:18" hidden="1">
      <c r="A1413" s="113">
        <v>46092</v>
      </c>
      <c r="B1413" s="17" t="s">
        <v>75</v>
      </c>
      <c r="C1413" s="114" t="s">
        <v>1283</v>
      </c>
      <c r="D1413" s="114"/>
      <c r="E1413" s="17" t="s">
        <v>40</v>
      </c>
      <c r="F1413" s="17" t="s">
        <v>77</v>
      </c>
      <c r="G1413" s="114" t="s">
        <v>2550</v>
      </c>
      <c r="H1413" s="17"/>
      <c r="K1413" s="14"/>
      <c r="L1413" s="32"/>
      <c r="M1413" s="14"/>
      <c r="N1413" s="14"/>
    </row>
    <row r="1414" spans="1:18" ht="63" hidden="1">
      <c r="A1414" s="113">
        <v>46092</v>
      </c>
      <c r="B1414" s="17" t="s">
        <v>75</v>
      </c>
      <c r="C1414" s="114" t="s">
        <v>1247</v>
      </c>
      <c r="D1414" s="114" t="s">
        <v>1248</v>
      </c>
      <c r="E1414" s="17" t="s">
        <v>62</v>
      </c>
      <c r="F1414" s="17" t="s">
        <v>71</v>
      </c>
      <c r="G1414" s="114" t="s">
        <v>2551</v>
      </c>
      <c r="H1414" s="17"/>
      <c r="K1414" s="14"/>
      <c r="L1414" s="32"/>
      <c r="M1414" s="14"/>
      <c r="N1414" s="32"/>
    </row>
    <row r="1415" spans="1:18" hidden="1">
      <c r="A1415" s="113">
        <v>46092</v>
      </c>
      <c r="B1415" s="17" t="s">
        <v>75</v>
      </c>
      <c r="C1415" s="114" t="s">
        <v>1230</v>
      </c>
      <c r="D1415" s="114" t="s">
        <v>1273</v>
      </c>
      <c r="E1415" s="17" t="s">
        <v>40</v>
      </c>
      <c r="F1415" s="17" t="s">
        <v>71</v>
      </c>
      <c r="G1415" s="114" t="s">
        <v>2552</v>
      </c>
      <c r="H1415" s="17"/>
      <c r="K1415" s="14"/>
      <c r="L1415" s="32"/>
      <c r="M1415" s="14"/>
      <c r="N1415" s="32"/>
    </row>
    <row r="1416" spans="1:18" ht="94.5" hidden="1">
      <c r="A1416" s="113">
        <v>46093</v>
      </c>
      <c r="B1416" s="17" t="s">
        <v>91</v>
      </c>
      <c r="C1416" s="114" t="s">
        <v>2526</v>
      </c>
      <c r="D1416" s="114" t="s">
        <v>2553</v>
      </c>
      <c r="E1416" s="17" t="s">
        <v>40</v>
      </c>
      <c r="F1416" s="17" t="s">
        <v>71</v>
      </c>
      <c r="G1416" s="114" t="s">
        <v>2554</v>
      </c>
      <c r="H1416" s="17"/>
      <c r="K1416" s="14"/>
      <c r="L1416" s="32"/>
      <c r="M1416" s="14"/>
      <c r="N1416" s="32"/>
    </row>
    <row r="1417" spans="1:18" hidden="1">
      <c r="A1417" s="113">
        <v>46093</v>
      </c>
      <c r="B1417" s="17" t="s">
        <v>76</v>
      </c>
      <c r="C1417" s="114" t="s">
        <v>1233</v>
      </c>
      <c r="D1417" s="114" t="s">
        <v>2555</v>
      </c>
      <c r="E1417" s="17" t="s">
        <v>40</v>
      </c>
      <c r="F1417" s="17" t="s">
        <v>71</v>
      </c>
      <c r="G1417" s="114" t="s">
        <v>2556</v>
      </c>
      <c r="H1417" s="17"/>
      <c r="K1417" s="14"/>
      <c r="L1417" s="32"/>
      <c r="M1417" s="14"/>
      <c r="N1417" s="32"/>
    </row>
    <row r="1418" spans="1:18" ht="31.5" hidden="1">
      <c r="A1418" s="113">
        <v>46093</v>
      </c>
      <c r="B1418" s="17" t="s">
        <v>75</v>
      </c>
      <c r="C1418" s="114" t="s">
        <v>1233</v>
      </c>
      <c r="D1418" s="114" t="s">
        <v>1242</v>
      </c>
      <c r="E1418" s="17" t="s">
        <v>40</v>
      </c>
      <c r="F1418" s="17" t="s">
        <v>77</v>
      </c>
      <c r="G1418" s="114" t="s">
        <v>2557</v>
      </c>
      <c r="H1418" s="17"/>
      <c r="K1418" s="14"/>
      <c r="L1418" s="32"/>
      <c r="M1418" s="14"/>
      <c r="N1418" s="32"/>
    </row>
    <row r="1419" spans="1:18" ht="94.5" hidden="1">
      <c r="A1419" s="113">
        <v>46093</v>
      </c>
      <c r="B1419" s="17" t="s">
        <v>75</v>
      </c>
      <c r="C1419" s="114" t="s">
        <v>476</v>
      </c>
      <c r="D1419" s="114" t="s">
        <v>478</v>
      </c>
      <c r="E1419" s="17" t="s">
        <v>40</v>
      </c>
      <c r="F1419" s="17" t="s">
        <v>71</v>
      </c>
      <c r="G1419" s="114" t="s">
        <v>2558</v>
      </c>
      <c r="H1419" s="17"/>
      <c r="K1419" s="14"/>
      <c r="L1419" s="46"/>
      <c r="R1419" s="115"/>
    </row>
    <row r="1420" spans="1:18" ht="78.75" hidden="1">
      <c r="A1420" s="113">
        <v>46093</v>
      </c>
      <c r="B1420" s="17" t="s">
        <v>75</v>
      </c>
      <c r="C1420" s="114" t="s">
        <v>1268</v>
      </c>
      <c r="D1420" s="114" t="s">
        <v>1799</v>
      </c>
      <c r="E1420" s="17" t="s">
        <v>41</v>
      </c>
      <c r="F1420" s="17" t="s">
        <v>64</v>
      </c>
      <c r="G1420" s="114" t="s">
        <v>2559</v>
      </c>
      <c r="H1420" s="17"/>
      <c r="K1420" s="14"/>
      <c r="L1420" s="46"/>
      <c r="R1420" s="115"/>
    </row>
    <row r="1421" spans="1:18" ht="31.5" hidden="1">
      <c r="A1421" s="113">
        <v>46094</v>
      </c>
      <c r="B1421" s="17" t="s">
        <v>75</v>
      </c>
      <c r="C1421" s="114" t="s">
        <v>459</v>
      </c>
      <c r="D1421" s="114" t="s">
        <v>461</v>
      </c>
      <c r="E1421" s="17" t="s">
        <v>41</v>
      </c>
      <c r="F1421" s="17" t="s">
        <v>64</v>
      </c>
      <c r="G1421" s="114" t="s">
        <v>2560</v>
      </c>
      <c r="H1421" s="17"/>
      <c r="K1421" s="14"/>
      <c r="L1421" s="46"/>
      <c r="R1421" s="115"/>
    </row>
    <row r="1422" spans="1:18" ht="31.5" hidden="1">
      <c r="A1422" s="113">
        <v>46094</v>
      </c>
      <c r="B1422" s="17" t="s">
        <v>75</v>
      </c>
      <c r="C1422" s="114" t="s">
        <v>1528</v>
      </c>
      <c r="D1422" s="114" t="s">
        <v>2010</v>
      </c>
      <c r="E1422" s="17" t="s">
        <v>41</v>
      </c>
      <c r="F1422" s="17" t="s">
        <v>64</v>
      </c>
      <c r="G1422" s="114" t="s">
        <v>2561</v>
      </c>
      <c r="H1422" s="17"/>
      <c r="K1422" s="14"/>
      <c r="L1422" s="46"/>
      <c r="R1422" s="115"/>
    </row>
    <row r="1423" spans="1:18" ht="31.5" hidden="1">
      <c r="A1423" s="113">
        <v>46094</v>
      </c>
      <c r="B1423" s="17" t="s">
        <v>197</v>
      </c>
      <c r="C1423" s="114" t="s">
        <v>477</v>
      </c>
      <c r="D1423" s="114" t="s">
        <v>2562</v>
      </c>
      <c r="E1423" s="17" t="s">
        <v>41</v>
      </c>
      <c r="F1423" s="17" t="s">
        <v>64</v>
      </c>
      <c r="G1423" s="114" t="s">
        <v>2563</v>
      </c>
      <c r="H1423" s="17"/>
      <c r="K1423" s="14"/>
      <c r="L1423" s="46"/>
      <c r="R1423" s="115"/>
    </row>
    <row r="1424" spans="1:18" ht="47.25" hidden="1">
      <c r="A1424" s="113">
        <v>46094</v>
      </c>
      <c r="B1424" s="17" t="s">
        <v>197</v>
      </c>
      <c r="C1424" s="114" t="s">
        <v>458</v>
      </c>
      <c r="D1424" s="114" t="s">
        <v>2564</v>
      </c>
      <c r="E1424" s="17" t="s">
        <v>41</v>
      </c>
      <c r="F1424" s="17" t="s">
        <v>71</v>
      </c>
      <c r="G1424" s="114" t="s">
        <v>2565</v>
      </c>
      <c r="H1424" s="17"/>
      <c r="K1424" s="14"/>
      <c r="L1424" s="46"/>
    </row>
    <row r="1425" spans="1:19" ht="31.5" hidden="1">
      <c r="A1425" s="113">
        <v>46094</v>
      </c>
      <c r="B1425" s="17" t="s">
        <v>197</v>
      </c>
      <c r="C1425" s="114" t="s">
        <v>1379</v>
      </c>
      <c r="D1425" s="114" t="s">
        <v>2566</v>
      </c>
      <c r="E1425" s="17" t="s">
        <v>41</v>
      </c>
      <c r="F1425" s="17" t="s">
        <v>77</v>
      </c>
      <c r="G1425" s="114" t="s">
        <v>2567</v>
      </c>
      <c r="H1425" s="17"/>
      <c r="K1425" s="14"/>
      <c r="L1425" s="46"/>
    </row>
    <row r="1426" spans="1:19" ht="31.5" hidden="1">
      <c r="A1426" s="113">
        <v>46094</v>
      </c>
      <c r="B1426" s="17" t="s">
        <v>197</v>
      </c>
      <c r="C1426" s="114" t="s">
        <v>533</v>
      </c>
      <c r="D1426" s="114" t="s">
        <v>1626</v>
      </c>
      <c r="E1426" s="17" t="s">
        <v>41</v>
      </c>
      <c r="F1426" s="17" t="s">
        <v>77</v>
      </c>
      <c r="G1426" s="114" t="s">
        <v>2568</v>
      </c>
      <c r="H1426" s="17"/>
      <c r="K1426" s="14"/>
      <c r="L1426" s="46"/>
    </row>
    <row r="1427" spans="1:19" ht="78.75" hidden="1">
      <c r="A1427" s="113">
        <v>46094</v>
      </c>
      <c r="B1427" s="17" t="s">
        <v>197</v>
      </c>
      <c r="C1427" s="114" t="s">
        <v>2317</v>
      </c>
      <c r="D1427" s="114" t="s">
        <v>2366</v>
      </c>
      <c r="E1427" s="17" t="s">
        <v>41</v>
      </c>
      <c r="F1427" s="17" t="s">
        <v>71</v>
      </c>
      <c r="G1427" s="114" t="s">
        <v>2569</v>
      </c>
      <c r="H1427" s="17"/>
      <c r="K1427" s="14"/>
      <c r="L1427" s="46"/>
    </row>
    <row r="1428" spans="1:19" s="110" customFormat="1" hidden="1">
      <c r="A1428" s="113"/>
      <c r="B1428" s="17"/>
      <c r="C1428" s="114"/>
      <c r="D1428" s="114"/>
      <c r="E1428" s="17"/>
      <c r="F1428" s="17"/>
      <c r="G1428" s="114"/>
      <c r="H1428" s="116"/>
      <c r="K1428" s="111"/>
      <c r="L1428" s="46"/>
      <c r="M1428"/>
      <c r="N1428"/>
      <c r="O1428"/>
      <c r="P1428"/>
      <c r="Q1428"/>
      <c r="R1428"/>
      <c r="S1428"/>
    </row>
    <row r="1429" spans="1:19" s="110" customFormat="1" hidden="1">
      <c r="A1429" s="113"/>
      <c r="B1429" s="17"/>
      <c r="C1429" s="114"/>
      <c r="D1429" s="114"/>
      <c r="E1429" s="17"/>
      <c r="F1429" s="17"/>
      <c r="G1429" s="114"/>
      <c r="H1429" s="116"/>
      <c r="K1429" s="111"/>
      <c r="L1429" s="46"/>
      <c r="M1429"/>
      <c r="N1429"/>
      <c r="O1429"/>
      <c r="P1429"/>
      <c r="Q1429"/>
      <c r="R1429"/>
      <c r="S1429"/>
    </row>
    <row r="1430" spans="1:19" hidden="1">
      <c r="A1430" s="113"/>
      <c r="B1430" s="17"/>
      <c r="C1430" s="114"/>
      <c r="D1430" s="114"/>
      <c r="E1430" s="17"/>
      <c r="F1430" s="17"/>
      <c r="G1430" s="114"/>
      <c r="H1430" s="17"/>
      <c r="K1430" s="14"/>
      <c r="L1430" s="46"/>
    </row>
    <row r="1431" spans="1:19" hidden="1"/>
    <row r="1432" spans="1:19" hidden="1">
      <c r="A1432" s="3" t="s">
        <v>70</v>
      </c>
      <c r="B1432" s="4" t="s">
        <v>72</v>
      </c>
      <c r="C1432" s="4" t="s">
        <v>16</v>
      </c>
      <c r="D1432" s="34" t="s">
        <v>155</v>
      </c>
      <c r="E1432" s="9" t="s">
        <v>156</v>
      </c>
      <c r="F1432" s="10" t="s">
        <v>157</v>
      </c>
    </row>
    <row r="1433" spans="1:19" hidden="1">
      <c r="A1433" s="135" t="s">
        <v>63</v>
      </c>
      <c r="B1433" s="99" t="s">
        <v>68</v>
      </c>
      <c r="C1433" s="99">
        <v>7</v>
      </c>
      <c r="D1433" s="99">
        <f>C1433</f>
        <v>7</v>
      </c>
      <c r="E1433" s="138">
        <f>D1433+D1435+D1437</f>
        <v>9.3333333333333339</v>
      </c>
      <c r="F1433" s="141">
        <f>E1433/12</f>
        <v>0.77777777777777779</v>
      </c>
    </row>
    <row r="1434" spans="1:19" hidden="1">
      <c r="A1434" s="136"/>
      <c r="B1434" s="144" t="s">
        <v>65</v>
      </c>
      <c r="C1434" s="144">
        <v>7</v>
      </c>
      <c r="D1434" s="35" t="s">
        <v>158</v>
      </c>
      <c r="E1434" s="139"/>
      <c r="F1434" s="142"/>
    </row>
    <row r="1435" spans="1:19" hidden="1">
      <c r="A1435" s="136"/>
      <c r="B1435" s="145"/>
      <c r="C1435" s="145"/>
      <c r="D1435" s="16">
        <f>C1434/3</f>
        <v>2.3333333333333335</v>
      </c>
      <c r="E1435" s="139"/>
      <c r="F1435" s="142"/>
    </row>
    <row r="1436" spans="1:19" hidden="1">
      <c r="A1436" s="136"/>
      <c r="B1436" s="144" t="s">
        <v>69</v>
      </c>
      <c r="C1436" s="144">
        <v>2</v>
      </c>
      <c r="D1436" s="35" t="s">
        <v>159</v>
      </c>
      <c r="E1436" s="139"/>
      <c r="F1436" s="142"/>
    </row>
    <row r="1437" spans="1:19" hidden="1">
      <c r="A1437" s="137"/>
      <c r="B1437" s="145"/>
      <c r="C1437" s="145"/>
      <c r="D1437" s="16">
        <v>0</v>
      </c>
      <c r="E1437" s="140"/>
      <c r="F1437" s="143"/>
    </row>
    <row r="1438" spans="1:19" hidden="1">
      <c r="A1438" s="36" t="s">
        <v>70</v>
      </c>
      <c r="B1438" s="37" t="s">
        <v>72</v>
      </c>
      <c r="C1438" s="37" t="s">
        <v>16</v>
      </c>
      <c r="D1438" s="146" t="s">
        <v>160</v>
      </c>
      <c r="E1438" s="147"/>
      <c r="F1438" s="148"/>
    </row>
    <row r="1439" spans="1:19" hidden="1">
      <c r="A1439" s="149" t="s">
        <v>62</v>
      </c>
      <c r="B1439" s="16" t="s">
        <v>68</v>
      </c>
      <c r="C1439" s="16">
        <v>6</v>
      </c>
      <c r="D1439" s="151">
        <f>C1439/9</f>
        <v>0.66666666666666663</v>
      </c>
      <c r="E1439" s="152"/>
      <c r="F1439" s="153"/>
    </row>
    <row r="1440" spans="1:19" ht="16.5" hidden="1" thickBot="1">
      <c r="A1440" s="150"/>
      <c r="B1440" s="20" t="s">
        <v>69</v>
      </c>
      <c r="C1440" s="20">
        <v>2</v>
      </c>
      <c r="D1440" s="154"/>
      <c r="E1440" s="155"/>
      <c r="F1440" s="156"/>
    </row>
    <row r="1441" spans="1:14" hidden="1"/>
    <row r="1442" spans="1:14" hidden="1">
      <c r="A1442" t="s">
        <v>2570</v>
      </c>
    </row>
    <row r="1443" spans="1:14" hidden="1">
      <c r="A1443" s="37" t="s">
        <v>58</v>
      </c>
      <c r="B1443" s="37" t="s">
        <v>67</v>
      </c>
      <c r="C1443" s="37" t="s">
        <v>3</v>
      </c>
      <c r="D1443" s="37" t="s">
        <v>57</v>
      </c>
      <c r="E1443" s="37" t="s">
        <v>59</v>
      </c>
      <c r="F1443" s="37" t="s">
        <v>61</v>
      </c>
      <c r="G1443" s="37" t="s">
        <v>60</v>
      </c>
      <c r="H1443" s="37" t="s">
        <v>66</v>
      </c>
      <c r="K1443" s="14"/>
      <c r="L1443" s="14"/>
      <c r="M1443" s="32"/>
      <c r="N1443" s="14"/>
    </row>
    <row r="1444" spans="1:14" ht="31.5" hidden="1">
      <c r="A1444" s="113">
        <v>46097</v>
      </c>
      <c r="B1444" s="17" t="s">
        <v>197</v>
      </c>
      <c r="C1444" s="114" t="s">
        <v>477</v>
      </c>
      <c r="D1444" s="114" t="s">
        <v>2571</v>
      </c>
      <c r="E1444" s="17" t="s">
        <v>41</v>
      </c>
      <c r="F1444" s="17" t="s">
        <v>64</v>
      </c>
      <c r="G1444" s="114" t="s">
        <v>2572</v>
      </c>
      <c r="H1444" s="17"/>
      <c r="K1444" s="14"/>
      <c r="L1444" s="14"/>
      <c r="M1444" s="14"/>
      <c r="N1444" s="14"/>
    </row>
    <row r="1445" spans="1:14" hidden="1">
      <c r="A1445" s="113">
        <v>46097</v>
      </c>
      <c r="B1445" s="17" t="s">
        <v>75</v>
      </c>
      <c r="C1445" s="114" t="s">
        <v>459</v>
      </c>
      <c r="D1445" s="114" t="s">
        <v>461</v>
      </c>
      <c r="E1445" s="17" t="s">
        <v>41</v>
      </c>
      <c r="F1445" s="17" t="s">
        <v>77</v>
      </c>
      <c r="G1445" s="114" t="s">
        <v>613</v>
      </c>
      <c r="H1445" s="17"/>
      <c r="K1445" s="14"/>
      <c r="L1445" s="14"/>
      <c r="M1445" s="14"/>
      <c r="N1445" s="14"/>
    </row>
    <row r="1446" spans="1:14" hidden="1">
      <c r="A1446" s="113">
        <v>46097</v>
      </c>
      <c r="B1446" s="17" t="s">
        <v>75</v>
      </c>
      <c r="C1446" s="114" t="s">
        <v>1268</v>
      </c>
      <c r="D1446" s="114" t="s">
        <v>2573</v>
      </c>
      <c r="E1446" s="17" t="s">
        <v>41</v>
      </c>
      <c r="F1446" s="17" t="s">
        <v>64</v>
      </c>
      <c r="G1446" s="114" t="s">
        <v>2574</v>
      </c>
      <c r="H1446" s="17"/>
      <c r="K1446" s="14"/>
      <c r="L1446" s="14"/>
      <c r="M1446" s="14"/>
      <c r="N1446" s="14"/>
    </row>
    <row r="1447" spans="1:14" ht="47.25" hidden="1">
      <c r="A1447" s="113">
        <v>46097</v>
      </c>
      <c r="B1447" s="17" t="s">
        <v>76</v>
      </c>
      <c r="C1447" s="114" t="s">
        <v>881</v>
      </c>
      <c r="D1447" s="114" t="s">
        <v>888</v>
      </c>
      <c r="E1447" s="17" t="s">
        <v>41</v>
      </c>
      <c r="F1447" s="17" t="s">
        <v>77</v>
      </c>
      <c r="G1447" s="114" t="s">
        <v>2575</v>
      </c>
      <c r="H1447" s="17"/>
      <c r="K1447" s="14"/>
      <c r="L1447" s="32"/>
      <c r="M1447" s="14"/>
      <c r="N1447" s="14"/>
    </row>
    <row r="1448" spans="1:14" hidden="1">
      <c r="A1448" s="113">
        <v>46097</v>
      </c>
      <c r="B1448" s="17" t="s">
        <v>197</v>
      </c>
      <c r="C1448" s="114" t="s">
        <v>2314</v>
      </c>
      <c r="D1448" s="114" t="s">
        <v>765</v>
      </c>
      <c r="E1448" s="17" t="s">
        <v>41</v>
      </c>
      <c r="F1448" s="17" t="s">
        <v>64</v>
      </c>
      <c r="G1448" s="114" t="s">
        <v>2576</v>
      </c>
      <c r="H1448" s="17"/>
      <c r="K1448" s="14"/>
      <c r="L1448" s="32"/>
      <c r="M1448" s="14"/>
      <c r="N1448" s="14"/>
    </row>
    <row r="1449" spans="1:14" hidden="1">
      <c r="A1449" s="113">
        <v>46097</v>
      </c>
      <c r="B1449" s="17" t="s">
        <v>75</v>
      </c>
      <c r="C1449" s="114" t="s">
        <v>2079</v>
      </c>
      <c r="D1449" s="114" t="s">
        <v>1361</v>
      </c>
      <c r="E1449" s="17" t="s">
        <v>41</v>
      </c>
      <c r="F1449" s="17" t="s">
        <v>77</v>
      </c>
      <c r="G1449" s="114" t="s">
        <v>1385</v>
      </c>
      <c r="H1449" s="17"/>
      <c r="K1449" s="14"/>
      <c r="L1449" s="32"/>
      <c r="M1449" s="14"/>
      <c r="N1449" s="14"/>
    </row>
    <row r="1450" spans="1:14" hidden="1">
      <c r="A1450" s="113">
        <v>46098</v>
      </c>
      <c r="B1450" s="17" t="s">
        <v>75</v>
      </c>
      <c r="C1450" s="114" t="s">
        <v>2317</v>
      </c>
      <c r="D1450" s="114" t="s">
        <v>893</v>
      </c>
      <c r="E1450" s="17" t="s">
        <v>41</v>
      </c>
      <c r="F1450" s="17" t="s">
        <v>71</v>
      </c>
      <c r="G1450" s="114" t="s">
        <v>2577</v>
      </c>
      <c r="H1450" s="17"/>
      <c r="K1450" s="14"/>
      <c r="L1450" s="32"/>
      <c r="M1450" s="14"/>
      <c r="N1450" s="14"/>
    </row>
    <row r="1451" spans="1:14" hidden="1">
      <c r="A1451" s="113">
        <v>46098</v>
      </c>
      <c r="B1451" s="17" t="s">
        <v>76</v>
      </c>
      <c r="C1451" s="114" t="s">
        <v>1233</v>
      </c>
      <c r="D1451" s="114" t="s">
        <v>2547</v>
      </c>
      <c r="E1451" s="17" t="s">
        <v>41</v>
      </c>
      <c r="F1451" s="17" t="s">
        <v>77</v>
      </c>
      <c r="G1451" s="114" t="s">
        <v>2578</v>
      </c>
      <c r="H1451" s="17"/>
      <c r="K1451" s="14"/>
      <c r="L1451" s="32"/>
      <c r="M1451" s="14"/>
      <c r="N1451" s="14"/>
    </row>
    <row r="1452" spans="1:14" hidden="1">
      <c r="A1452" s="113">
        <v>46098</v>
      </c>
      <c r="B1452" s="17" t="s">
        <v>75</v>
      </c>
      <c r="C1452" s="114" t="s">
        <v>2243</v>
      </c>
      <c r="D1452" s="114" t="s">
        <v>685</v>
      </c>
      <c r="E1452" s="17" t="s">
        <v>41</v>
      </c>
      <c r="F1452" s="17" t="s">
        <v>71</v>
      </c>
      <c r="G1452" s="114" t="s">
        <v>2579</v>
      </c>
      <c r="H1452" s="17"/>
      <c r="K1452" s="14"/>
      <c r="L1452" s="32"/>
      <c r="M1452" s="14"/>
      <c r="N1452" s="14"/>
    </row>
    <row r="1453" spans="1:14" hidden="1">
      <c r="A1453" s="113">
        <v>46098</v>
      </c>
      <c r="B1453" s="17" t="s">
        <v>75</v>
      </c>
      <c r="C1453" s="114" t="s">
        <v>49</v>
      </c>
      <c r="D1453" s="114" t="s">
        <v>373</v>
      </c>
      <c r="E1453" s="17" t="s">
        <v>41</v>
      </c>
      <c r="F1453" s="17" t="s">
        <v>77</v>
      </c>
      <c r="G1453" s="114" t="s">
        <v>1542</v>
      </c>
      <c r="H1453" s="17"/>
      <c r="K1453" s="14"/>
      <c r="L1453" s="32"/>
      <c r="M1453" s="14"/>
      <c r="N1453" s="32"/>
    </row>
    <row r="1454" spans="1:14" ht="31.5" hidden="1">
      <c r="A1454" s="113">
        <v>46098</v>
      </c>
      <c r="B1454" s="17" t="s">
        <v>197</v>
      </c>
      <c r="C1454" s="114" t="s">
        <v>1233</v>
      </c>
      <c r="D1454" s="114" t="s">
        <v>2580</v>
      </c>
      <c r="E1454" s="17" t="s">
        <v>41</v>
      </c>
      <c r="F1454" s="17" t="s">
        <v>64</v>
      </c>
      <c r="G1454" s="114" t="s">
        <v>2581</v>
      </c>
      <c r="H1454" s="17"/>
      <c r="K1454" s="14"/>
      <c r="L1454" s="32"/>
      <c r="M1454" s="14"/>
      <c r="N1454" s="32"/>
    </row>
    <row r="1455" spans="1:14" ht="31.5" hidden="1">
      <c r="A1455" s="113">
        <v>46098</v>
      </c>
      <c r="B1455" s="17" t="s">
        <v>76</v>
      </c>
      <c r="C1455" s="114" t="s">
        <v>1230</v>
      </c>
      <c r="D1455" s="114" t="s">
        <v>1273</v>
      </c>
      <c r="E1455" s="17" t="s">
        <v>41</v>
      </c>
      <c r="F1455" s="17" t="s">
        <v>64</v>
      </c>
      <c r="G1455" s="114" t="s">
        <v>2582</v>
      </c>
      <c r="H1455" s="17"/>
      <c r="K1455" s="14"/>
      <c r="L1455" s="32"/>
      <c r="M1455" s="14"/>
      <c r="N1455" s="32"/>
    </row>
    <row r="1456" spans="1:14" ht="110.25" hidden="1">
      <c r="A1456" s="113">
        <v>46098</v>
      </c>
      <c r="B1456" s="17" t="s">
        <v>197</v>
      </c>
      <c r="C1456" s="114" t="s">
        <v>477</v>
      </c>
      <c r="D1456" s="114" t="s">
        <v>2583</v>
      </c>
      <c r="E1456" s="17" t="s">
        <v>40</v>
      </c>
      <c r="F1456" s="17" t="s">
        <v>71</v>
      </c>
      <c r="G1456" s="114" t="s">
        <v>2584</v>
      </c>
      <c r="H1456" s="17"/>
      <c r="K1456" s="14"/>
      <c r="L1456" s="32"/>
      <c r="M1456" s="14"/>
      <c r="N1456" s="32"/>
    </row>
    <row r="1457" spans="1:19" ht="63" hidden="1">
      <c r="A1457" s="113">
        <v>46098</v>
      </c>
      <c r="B1457" s="17" t="s">
        <v>75</v>
      </c>
      <c r="C1457" s="114" t="s">
        <v>1268</v>
      </c>
      <c r="D1457" s="114" t="s">
        <v>1799</v>
      </c>
      <c r="E1457" s="17" t="s">
        <v>40</v>
      </c>
      <c r="F1457" s="17" t="s">
        <v>77</v>
      </c>
      <c r="G1457" s="114" t="s">
        <v>2585</v>
      </c>
      <c r="H1457" s="17"/>
      <c r="K1457" s="14"/>
      <c r="L1457" s="32"/>
      <c r="M1457" s="14"/>
      <c r="N1457" s="32"/>
    </row>
    <row r="1458" spans="1:19" ht="78.75" hidden="1">
      <c r="A1458" s="113">
        <v>46099</v>
      </c>
      <c r="B1458" s="17" t="s">
        <v>197</v>
      </c>
      <c r="C1458" s="114" t="s">
        <v>1261</v>
      </c>
      <c r="D1458" s="114" t="s">
        <v>1869</v>
      </c>
      <c r="E1458" s="17" t="s">
        <v>41</v>
      </c>
      <c r="F1458" s="17" t="s">
        <v>71</v>
      </c>
      <c r="G1458" s="114" t="s">
        <v>2586</v>
      </c>
      <c r="H1458" s="17"/>
      <c r="K1458" s="14"/>
      <c r="L1458" s="32"/>
      <c r="M1458" s="14"/>
      <c r="N1458" s="32"/>
    </row>
    <row r="1459" spans="1:19" hidden="1">
      <c r="A1459" s="113">
        <v>46099</v>
      </c>
      <c r="B1459" s="17" t="s">
        <v>197</v>
      </c>
      <c r="C1459" s="114" t="s">
        <v>2314</v>
      </c>
      <c r="D1459" s="114" t="s">
        <v>765</v>
      </c>
      <c r="E1459" s="17" t="s">
        <v>41</v>
      </c>
      <c r="F1459" s="17" t="s">
        <v>71</v>
      </c>
      <c r="G1459" s="114" t="s">
        <v>2587</v>
      </c>
      <c r="H1459" s="17"/>
      <c r="K1459" s="14"/>
      <c r="L1459" s="46"/>
      <c r="R1459" s="115"/>
    </row>
    <row r="1460" spans="1:19" hidden="1">
      <c r="A1460" s="113">
        <v>46099</v>
      </c>
      <c r="B1460" s="17" t="s">
        <v>197</v>
      </c>
      <c r="C1460" s="114" t="s">
        <v>362</v>
      </c>
      <c r="D1460" s="114" t="s">
        <v>1497</v>
      </c>
      <c r="E1460" s="17" t="s">
        <v>41</v>
      </c>
      <c r="F1460" s="17" t="s">
        <v>64</v>
      </c>
      <c r="G1460" s="114" t="s">
        <v>2588</v>
      </c>
      <c r="H1460" s="17"/>
      <c r="K1460" s="14"/>
      <c r="L1460" s="46"/>
      <c r="R1460" s="115"/>
    </row>
    <row r="1461" spans="1:19" ht="63" hidden="1">
      <c r="A1461" s="113">
        <v>46099</v>
      </c>
      <c r="B1461" s="17" t="s">
        <v>197</v>
      </c>
      <c r="C1461" s="114" t="s">
        <v>532</v>
      </c>
      <c r="D1461" s="114" t="s">
        <v>2589</v>
      </c>
      <c r="E1461" s="17" t="s">
        <v>41</v>
      </c>
      <c r="F1461" s="17" t="s">
        <v>77</v>
      </c>
      <c r="G1461" s="114" t="s">
        <v>2590</v>
      </c>
      <c r="H1461" s="17"/>
      <c r="K1461" s="14"/>
      <c r="L1461" s="46"/>
      <c r="R1461" s="115"/>
    </row>
    <row r="1462" spans="1:19" hidden="1">
      <c r="A1462" s="113">
        <v>46099</v>
      </c>
      <c r="B1462" s="17" t="s">
        <v>197</v>
      </c>
      <c r="C1462" s="114" t="s">
        <v>1233</v>
      </c>
      <c r="D1462" s="114" t="s">
        <v>2591</v>
      </c>
      <c r="E1462" s="17" t="s">
        <v>40</v>
      </c>
      <c r="F1462" s="17" t="s">
        <v>71</v>
      </c>
      <c r="G1462" s="114"/>
      <c r="H1462" s="17"/>
      <c r="K1462" s="14"/>
      <c r="L1462" s="46"/>
      <c r="R1462" s="115"/>
    </row>
    <row r="1463" spans="1:19" ht="110.25" hidden="1">
      <c r="A1463" s="113">
        <v>46099</v>
      </c>
      <c r="B1463" s="17" t="s">
        <v>75</v>
      </c>
      <c r="C1463" s="114" t="s">
        <v>1528</v>
      </c>
      <c r="D1463" s="114" t="s">
        <v>2010</v>
      </c>
      <c r="E1463" s="17" t="s">
        <v>40</v>
      </c>
      <c r="F1463" s="17" t="s">
        <v>77</v>
      </c>
      <c r="G1463" s="114" t="s">
        <v>2592</v>
      </c>
      <c r="H1463" s="17"/>
      <c r="K1463" s="14"/>
      <c r="L1463" s="46"/>
      <c r="R1463" s="115"/>
    </row>
    <row r="1464" spans="1:19" ht="126" hidden="1">
      <c r="A1464" s="113">
        <v>46100</v>
      </c>
      <c r="B1464" s="17" t="s">
        <v>75</v>
      </c>
      <c r="C1464" s="114" t="s">
        <v>1230</v>
      </c>
      <c r="D1464" s="114" t="s">
        <v>1273</v>
      </c>
      <c r="E1464" s="17" t="s">
        <v>40</v>
      </c>
      <c r="F1464" s="17" t="s">
        <v>71</v>
      </c>
      <c r="G1464" s="114" t="s">
        <v>2593</v>
      </c>
      <c r="H1464" s="17"/>
      <c r="K1464" s="14"/>
      <c r="L1464" s="46"/>
      <c r="R1464" s="115"/>
    </row>
    <row r="1465" spans="1:19" hidden="1">
      <c r="A1465" s="113">
        <v>46100</v>
      </c>
      <c r="B1465" s="17" t="s">
        <v>197</v>
      </c>
      <c r="C1465" s="114" t="s">
        <v>407</v>
      </c>
      <c r="D1465" s="114" t="s">
        <v>542</v>
      </c>
      <c r="E1465" s="17" t="s">
        <v>41</v>
      </c>
      <c r="F1465" s="17" t="s">
        <v>77</v>
      </c>
      <c r="G1465" s="114" t="s">
        <v>2594</v>
      </c>
      <c r="H1465" s="17"/>
      <c r="K1465" s="14"/>
      <c r="L1465" s="46"/>
      <c r="R1465" s="115"/>
    </row>
    <row r="1466" spans="1:19" ht="47.25" hidden="1">
      <c r="A1466" s="113">
        <v>46100</v>
      </c>
      <c r="B1466" s="17" t="s">
        <v>75</v>
      </c>
      <c r="C1466" s="114" t="s">
        <v>2446</v>
      </c>
      <c r="D1466" s="114" t="s">
        <v>685</v>
      </c>
      <c r="E1466" s="17" t="s">
        <v>41</v>
      </c>
      <c r="F1466" s="17" t="s">
        <v>64</v>
      </c>
      <c r="G1466" s="114" t="s">
        <v>2595</v>
      </c>
      <c r="H1466" s="17"/>
      <c r="K1466" s="14"/>
      <c r="L1466" s="46"/>
    </row>
    <row r="1467" spans="1:19" hidden="1">
      <c r="A1467" s="113">
        <v>46100</v>
      </c>
      <c r="B1467" s="17" t="s">
        <v>91</v>
      </c>
      <c r="C1467" s="114" t="s">
        <v>2596</v>
      </c>
      <c r="D1467" s="114" t="s">
        <v>2597</v>
      </c>
      <c r="E1467" s="17" t="s">
        <v>41</v>
      </c>
      <c r="F1467" s="17" t="s">
        <v>77</v>
      </c>
      <c r="G1467" s="114" t="s">
        <v>2598</v>
      </c>
      <c r="H1467" s="17"/>
      <c r="K1467" s="14"/>
      <c r="L1467" s="46"/>
    </row>
    <row r="1468" spans="1:19" ht="31.5" hidden="1">
      <c r="A1468" s="113">
        <v>46100</v>
      </c>
      <c r="B1468" s="17" t="s">
        <v>75</v>
      </c>
      <c r="C1468" s="114" t="s">
        <v>2317</v>
      </c>
      <c r="D1468" s="114" t="s">
        <v>2513</v>
      </c>
      <c r="E1468" s="17" t="s">
        <v>41</v>
      </c>
      <c r="F1468" s="17" t="s">
        <v>71</v>
      </c>
      <c r="G1468" s="114" t="s">
        <v>2599</v>
      </c>
      <c r="H1468" s="17"/>
      <c r="K1468" s="14"/>
      <c r="L1468" s="46"/>
    </row>
    <row r="1469" spans="1:19" ht="31.5" hidden="1">
      <c r="A1469" s="113">
        <v>46100</v>
      </c>
      <c r="B1469" s="17" t="s">
        <v>75</v>
      </c>
      <c r="C1469" s="114" t="s">
        <v>42</v>
      </c>
      <c r="D1469" s="114" t="s">
        <v>2525</v>
      </c>
      <c r="E1469" s="17" t="s">
        <v>41</v>
      </c>
      <c r="F1469" s="17" t="s">
        <v>77</v>
      </c>
      <c r="G1469" s="114" t="s">
        <v>2600</v>
      </c>
      <c r="H1469" s="17"/>
      <c r="K1469" s="14"/>
      <c r="L1469" s="46"/>
    </row>
    <row r="1470" spans="1:19" s="110" customFormat="1" hidden="1">
      <c r="A1470" s="113">
        <v>46100</v>
      </c>
      <c r="B1470" s="17" t="s">
        <v>75</v>
      </c>
      <c r="C1470" s="114" t="s">
        <v>820</v>
      </c>
      <c r="D1470" s="114" t="s">
        <v>686</v>
      </c>
      <c r="E1470" s="17" t="s">
        <v>41</v>
      </c>
      <c r="F1470" s="17" t="s">
        <v>77</v>
      </c>
      <c r="G1470" s="114" t="s">
        <v>2601</v>
      </c>
      <c r="H1470" s="116"/>
      <c r="K1470" s="111"/>
      <c r="L1470" s="46"/>
      <c r="M1470"/>
      <c r="N1470"/>
      <c r="O1470"/>
      <c r="P1470"/>
      <c r="Q1470"/>
      <c r="R1470"/>
      <c r="S1470"/>
    </row>
    <row r="1471" spans="1:19" s="110" customFormat="1" hidden="1">
      <c r="A1471" s="113">
        <v>46100</v>
      </c>
      <c r="B1471" s="17" t="s">
        <v>75</v>
      </c>
      <c r="C1471" s="114" t="s">
        <v>1485</v>
      </c>
      <c r="D1471" s="114" t="s">
        <v>2602</v>
      </c>
      <c r="E1471" s="17" t="s">
        <v>41</v>
      </c>
      <c r="F1471" s="17" t="s">
        <v>77</v>
      </c>
      <c r="G1471" s="114" t="s">
        <v>1385</v>
      </c>
      <c r="H1471" s="116"/>
      <c r="K1471" s="111"/>
      <c r="L1471" s="46"/>
      <c r="M1471"/>
      <c r="N1471"/>
      <c r="O1471"/>
      <c r="P1471"/>
      <c r="Q1471"/>
      <c r="R1471"/>
      <c r="S1471"/>
    </row>
    <row r="1472" spans="1:19" s="110" customFormat="1" hidden="1">
      <c r="A1472" s="113">
        <v>46100</v>
      </c>
      <c r="B1472" s="17" t="s">
        <v>75</v>
      </c>
      <c r="C1472" s="114" t="s">
        <v>1837</v>
      </c>
      <c r="D1472" s="114" t="s">
        <v>2603</v>
      </c>
      <c r="E1472" s="17" t="s">
        <v>41</v>
      </c>
      <c r="F1472" s="17" t="s">
        <v>77</v>
      </c>
      <c r="G1472" s="114" t="s">
        <v>613</v>
      </c>
      <c r="H1472" s="116"/>
      <c r="K1472" s="111"/>
      <c r="L1472" s="46"/>
      <c r="M1472"/>
      <c r="N1472"/>
      <c r="O1472"/>
      <c r="P1472"/>
      <c r="Q1472"/>
      <c r="R1472"/>
      <c r="S1472"/>
    </row>
    <row r="1473" spans="1:19" s="110" customFormat="1" ht="31.5" hidden="1">
      <c r="A1473" s="113">
        <v>46100</v>
      </c>
      <c r="B1473" s="17" t="s">
        <v>76</v>
      </c>
      <c r="C1473" s="114" t="s">
        <v>349</v>
      </c>
      <c r="D1473" s="114" t="s">
        <v>350</v>
      </c>
      <c r="E1473" s="17" t="s">
        <v>41</v>
      </c>
      <c r="F1473" s="17" t="s">
        <v>64</v>
      </c>
      <c r="G1473" s="114" t="s">
        <v>2604</v>
      </c>
      <c r="H1473" s="116"/>
      <c r="K1473" s="111"/>
      <c r="L1473" s="46"/>
      <c r="M1473"/>
      <c r="N1473"/>
      <c r="O1473"/>
      <c r="P1473"/>
      <c r="Q1473"/>
      <c r="R1473"/>
      <c r="S1473"/>
    </row>
    <row r="1474" spans="1:19" s="110" customFormat="1" hidden="1">
      <c r="A1474" s="113">
        <v>46100</v>
      </c>
      <c r="B1474" s="17" t="s">
        <v>76</v>
      </c>
      <c r="C1474" s="114" t="s">
        <v>349</v>
      </c>
      <c r="D1474" s="114" t="s">
        <v>2605</v>
      </c>
      <c r="E1474" s="17" t="s">
        <v>41</v>
      </c>
      <c r="F1474" s="17" t="s">
        <v>77</v>
      </c>
      <c r="G1474" s="114" t="s">
        <v>2606</v>
      </c>
      <c r="H1474" s="116"/>
      <c r="K1474" s="111"/>
      <c r="L1474" s="46"/>
      <c r="M1474"/>
      <c r="N1474"/>
      <c r="O1474"/>
      <c r="P1474"/>
      <c r="Q1474"/>
      <c r="R1474"/>
      <c r="S1474"/>
    </row>
    <row r="1475" spans="1:19" s="110" customFormat="1" hidden="1">
      <c r="A1475" s="113">
        <v>46100</v>
      </c>
      <c r="B1475" s="17" t="s">
        <v>75</v>
      </c>
      <c r="C1475" s="114" t="s">
        <v>2437</v>
      </c>
      <c r="D1475" s="114" t="s">
        <v>2607</v>
      </c>
      <c r="E1475" s="17" t="s">
        <v>41</v>
      </c>
      <c r="F1475" s="17" t="s">
        <v>77</v>
      </c>
      <c r="G1475" s="114" t="s">
        <v>1385</v>
      </c>
      <c r="H1475" s="116"/>
      <c r="K1475" s="111"/>
      <c r="L1475" s="46"/>
      <c r="M1475"/>
      <c r="N1475"/>
      <c r="O1475"/>
      <c r="P1475"/>
      <c r="Q1475"/>
      <c r="R1475"/>
      <c r="S1475"/>
    </row>
    <row r="1476" spans="1:19" s="110" customFormat="1" hidden="1">
      <c r="A1476" s="113">
        <v>46100</v>
      </c>
      <c r="B1476" s="17" t="s">
        <v>75</v>
      </c>
      <c r="C1476" s="114" t="s">
        <v>2437</v>
      </c>
      <c r="D1476" s="114" t="s">
        <v>2608</v>
      </c>
      <c r="E1476" s="17" t="s">
        <v>41</v>
      </c>
      <c r="F1476" s="17" t="s">
        <v>77</v>
      </c>
      <c r="G1476" s="114" t="s">
        <v>1385</v>
      </c>
      <c r="H1476" s="116"/>
      <c r="K1476" s="111"/>
      <c r="L1476" s="46"/>
      <c r="M1476"/>
      <c r="N1476"/>
      <c r="O1476"/>
      <c r="P1476"/>
      <c r="Q1476"/>
      <c r="R1476"/>
      <c r="S1476"/>
    </row>
    <row r="1477" spans="1:19" s="110" customFormat="1" ht="31.5" hidden="1">
      <c r="A1477" s="113">
        <v>46100</v>
      </c>
      <c r="B1477" s="17" t="s">
        <v>197</v>
      </c>
      <c r="C1477" s="114" t="s">
        <v>533</v>
      </c>
      <c r="D1477" s="114" t="s">
        <v>541</v>
      </c>
      <c r="E1477" s="17" t="s">
        <v>41</v>
      </c>
      <c r="F1477" s="17" t="s">
        <v>64</v>
      </c>
      <c r="G1477" s="114" t="s">
        <v>2609</v>
      </c>
      <c r="H1477" s="116"/>
      <c r="K1477" s="111"/>
      <c r="L1477" s="46"/>
      <c r="M1477"/>
      <c r="N1477"/>
      <c r="O1477"/>
      <c r="P1477"/>
      <c r="Q1477"/>
      <c r="R1477"/>
      <c r="S1477"/>
    </row>
    <row r="1478" spans="1:19" s="110" customFormat="1" hidden="1">
      <c r="A1478" s="113">
        <v>46100</v>
      </c>
      <c r="B1478" s="17" t="s">
        <v>75</v>
      </c>
      <c r="C1478" s="114" t="s">
        <v>1960</v>
      </c>
      <c r="D1478" s="114" t="s">
        <v>2052</v>
      </c>
      <c r="E1478" s="17" t="s">
        <v>41</v>
      </c>
      <c r="F1478" s="17" t="s">
        <v>77</v>
      </c>
      <c r="G1478" s="114" t="s">
        <v>2610</v>
      </c>
      <c r="H1478" s="116"/>
      <c r="K1478" s="111"/>
      <c r="L1478" s="46"/>
      <c r="M1478"/>
      <c r="N1478"/>
      <c r="O1478"/>
      <c r="P1478"/>
      <c r="Q1478"/>
      <c r="R1478"/>
      <c r="S1478"/>
    </row>
    <row r="1479" spans="1:19" s="110" customFormat="1" ht="63" hidden="1">
      <c r="A1479" s="113">
        <v>46100</v>
      </c>
      <c r="B1479" s="17" t="s">
        <v>75</v>
      </c>
      <c r="C1479" s="114" t="s">
        <v>827</v>
      </c>
      <c r="D1479" s="114" t="s">
        <v>2611</v>
      </c>
      <c r="E1479" s="17" t="s">
        <v>41</v>
      </c>
      <c r="F1479" s="17" t="s">
        <v>64</v>
      </c>
      <c r="G1479" s="114" t="s">
        <v>2612</v>
      </c>
      <c r="H1479" s="116"/>
      <c r="K1479" s="111"/>
      <c r="L1479" s="46"/>
      <c r="M1479"/>
      <c r="N1479"/>
      <c r="O1479"/>
      <c r="P1479"/>
      <c r="Q1479"/>
      <c r="R1479"/>
      <c r="S1479"/>
    </row>
    <row r="1480" spans="1:19" s="110" customFormat="1" ht="31.5" hidden="1">
      <c r="A1480" s="113">
        <v>46100</v>
      </c>
      <c r="B1480" s="17" t="s">
        <v>197</v>
      </c>
      <c r="C1480" s="114" t="s">
        <v>1314</v>
      </c>
      <c r="D1480" s="114" t="s">
        <v>2613</v>
      </c>
      <c r="E1480" s="17" t="s">
        <v>41</v>
      </c>
      <c r="F1480" s="17" t="s">
        <v>64</v>
      </c>
      <c r="G1480" s="114" t="s">
        <v>2614</v>
      </c>
      <c r="H1480" s="116"/>
      <c r="K1480" s="111"/>
      <c r="L1480" s="46"/>
      <c r="M1480"/>
      <c r="N1480"/>
      <c r="O1480"/>
      <c r="P1480"/>
      <c r="Q1480"/>
      <c r="R1480"/>
      <c r="S1480"/>
    </row>
    <row r="1481" spans="1:19" s="110" customFormat="1" ht="31.5" hidden="1">
      <c r="A1481" s="113">
        <v>46100</v>
      </c>
      <c r="B1481" s="17" t="s">
        <v>197</v>
      </c>
      <c r="C1481" s="114" t="s">
        <v>2314</v>
      </c>
      <c r="D1481" s="114" t="s">
        <v>2386</v>
      </c>
      <c r="E1481" s="17" t="s">
        <v>41</v>
      </c>
      <c r="F1481" s="17" t="s">
        <v>64</v>
      </c>
      <c r="G1481" s="114" t="s">
        <v>2615</v>
      </c>
      <c r="H1481" s="116"/>
      <c r="K1481" s="111"/>
      <c r="L1481" s="46"/>
      <c r="M1481"/>
      <c r="N1481"/>
      <c r="O1481"/>
      <c r="P1481"/>
      <c r="Q1481"/>
      <c r="R1481"/>
      <c r="S1481"/>
    </row>
    <row r="1482" spans="1:19" s="110" customFormat="1" ht="31.5" hidden="1">
      <c r="A1482" s="113">
        <v>46100</v>
      </c>
      <c r="B1482" s="17" t="s">
        <v>75</v>
      </c>
      <c r="C1482" s="114" t="s">
        <v>2543</v>
      </c>
      <c r="D1482" s="114" t="s">
        <v>2616</v>
      </c>
      <c r="E1482" s="17" t="s">
        <v>41</v>
      </c>
      <c r="F1482" s="17" t="s">
        <v>64</v>
      </c>
      <c r="G1482" s="114" t="s">
        <v>2617</v>
      </c>
      <c r="H1482" s="116"/>
      <c r="K1482" s="111"/>
      <c r="L1482" s="46"/>
      <c r="M1482"/>
      <c r="N1482"/>
      <c r="O1482"/>
      <c r="P1482"/>
      <c r="Q1482"/>
      <c r="R1482"/>
      <c r="S1482"/>
    </row>
    <row r="1483" spans="1:19" s="110" customFormat="1" hidden="1">
      <c r="A1483" s="113">
        <v>46100</v>
      </c>
      <c r="B1483" s="17" t="s">
        <v>197</v>
      </c>
      <c r="C1483" s="114" t="s">
        <v>1356</v>
      </c>
      <c r="D1483" s="114" t="s">
        <v>2618</v>
      </c>
      <c r="E1483" s="17" t="s">
        <v>41</v>
      </c>
      <c r="F1483" s="17" t="s">
        <v>77</v>
      </c>
      <c r="G1483" s="114" t="s">
        <v>1542</v>
      </c>
      <c r="H1483" s="116"/>
      <c r="K1483" s="111"/>
      <c r="L1483" s="46"/>
      <c r="M1483"/>
      <c r="N1483"/>
      <c r="O1483"/>
      <c r="P1483"/>
      <c r="Q1483"/>
      <c r="R1483"/>
      <c r="S1483"/>
    </row>
    <row r="1484" spans="1:19" s="110" customFormat="1" hidden="1">
      <c r="A1484" s="113">
        <v>46100</v>
      </c>
      <c r="B1484" s="17" t="s">
        <v>197</v>
      </c>
      <c r="C1484" s="114" t="s">
        <v>1376</v>
      </c>
      <c r="D1484" s="114" t="s">
        <v>2608</v>
      </c>
      <c r="E1484" s="17" t="s">
        <v>41</v>
      </c>
      <c r="F1484" s="17" t="s">
        <v>64</v>
      </c>
      <c r="G1484" s="114" t="s">
        <v>2619</v>
      </c>
      <c r="H1484" s="116"/>
      <c r="K1484" s="111"/>
      <c r="L1484" s="46"/>
      <c r="M1484"/>
      <c r="N1484"/>
      <c r="O1484"/>
      <c r="P1484"/>
      <c r="Q1484"/>
      <c r="R1484"/>
      <c r="S1484"/>
    </row>
    <row r="1485" spans="1:19" s="110" customFormat="1" ht="31.5" hidden="1">
      <c r="A1485" s="113">
        <v>46100</v>
      </c>
      <c r="B1485" s="17" t="s">
        <v>75</v>
      </c>
      <c r="C1485" s="114" t="s">
        <v>2620</v>
      </c>
      <c r="D1485" s="114" t="s">
        <v>2621</v>
      </c>
      <c r="E1485" s="17" t="s">
        <v>41</v>
      </c>
      <c r="F1485" s="17" t="s">
        <v>77</v>
      </c>
      <c r="G1485" s="114" t="s">
        <v>2622</v>
      </c>
      <c r="H1485" s="116"/>
      <c r="K1485" s="111"/>
      <c r="L1485" s="46"/>
      <c r="M1485"/>
      <c r="N1485"/>
      <c r="O1485"/>
      <c r="P1485"/>
      <c r="Q1485"/>
      <c r="R1485"/>
      <c r="S1485"/>
    </row>
    <row r="1486" spans="1:19" s="110" customFormat="1" hidden="1">
      <c r="A1486" s="113">
        <v>46100</v>
      </c>
      <c r="B1486" s="17" t="s">
        <v>75</v>
      </c>
      <c r="C1486" s="114" t="s">
        <v>2623</v>
      </c>
      <c r="D1486" s="114" t="s">
        <v>1996</v>
      </c>
      <c r="E1486" s="17" t="s">
        <v>41</v>
      </c>
      <c r="F1486" s="17" t="s">
        <v>77</v>
      </c>
      <c r="G1486" s="114" t="s">
        <v>1385</v>
      </c>
      <c r="H1486" s="116"/>
      <c r="K1486" s="111"/>
      <c r="L1486" s="46"/>
      <c r="M1486"/>
      <c r="N1486"/>
      <c r="O1486"/>
      <c r="P1486"/>
      <c r="Q1486"/>
      <c r="R1486"/>
      <c r="S1486"/>
    </row>
    <row r="1487" spans="1:19" s="110" customFormat="1" hidden="1">
      <c r="A1487" s="113">
        <v>46100</v>
      </c>
      <c r="B1487" s="17" t="s">
        <v>75</v>
      </c>
      <c r="C1487" s="114" t="s">
        <v>1442</v>
      </c>
      <c r="D1487" s="114" t="s">
        <v>2168</v>
      </c>
      <c r="E1487" s="17" t="s">
        <v>41</v>
      </c>
      <c r="F1487" s="17" t="s">
        <v>64</v>
      </c>
      <c r="G1487" s="114" t="s">
        <v>2624</v>
      </c>
      <c r="H1487" s="116"/>
      <c r="K1487" s="111"/>
      <c r="L1487" s="46"/>
      <c r="M1487"/>
      <c r="N1487"/>
      <c r="O1487"/>
      <c r="P1487"/>
      <c r="Q1487"/>
      <c r="R1487"/>
      <c r="S1487"/>
    </row>
    <row r="1488" spans="1:19" s="110" customFormat="1" ht="31.5" hidden="1">
      <c r="A1488" s="113">
        <v>46100</v>
      </c>
      <c r="B1488" s="17" t="s">
        <v>197</v>
      </c>
      <c r="C1488" s="114" t="s">
        <v>477</v>
      </c>
      <c r="D1488" s="114" t="s">
        <v>2571</v>
      </c>
      <c r="E1488" s="17" t="s">
        <v>41</v>
      </c>
      <c r="F1488" s="17" t="s">
        <v>71</v>
      </c>
      <c r="G1488" s="114" t="s">
        <v>2625</v>
      </c>
      <c r="H1488" s="116"/>
      <c r="K1488" s="111"/>
      <c r="L1488" s="46"/>
      <c r="M1488"/>
      <c r="N1488"/>
      <c r="O1488"/>
      <c r="P1488"/>
      <c r="Q1488"/>
      <c r="R1488"/>
      <c r="S1488"/>
    </row>
    <row r="1489" spans="1:19" s="110" customFormat="1" ht="31.5" hidden="1">
      <c r="A1489" s="113">
        <v>46100</v>
      </c>
      <c r="B1489" s="17" t="s">
        <v>75</v>
      </c>
      <c r="C1489" s="114" t="s">
        <v>2626</v>
      </c>
      <c r="D1489" s="114" t="s">
        <v>2627</v>
      </c>
      <c r="E1489" s="17" t="s">
        <v>41</v>
      </c>
      <c r="F1489" s="17" t="s">
        <v>71</v>
      </c>
      <c r="G1489" s="114" t="s">
        <v>2628</v>
      </c>
      <c r="H1489" s="116"/>
      <c r="K1489" s="111"/>
      <c r="L1489" s="46"/>
      <c r="M1489"/>
      <c r="N1489"/>
      <c r="O1489"/>
      <c r="P1489"/>
      <c r="Q1489"/>
      <c r="R1489"/>
      <c r="S1489"/>
    </row>
    <row r="1490" spans="1:19" s="110" customFormat="1" hidden="1">
      <c r="A1490" s="113">
        <v>46101</v>
      </c>
      <c r="B1490" s="17" t="s">
        <v>197</v>
      </c>
      <c r="C1490" s="114" t="s">
        <v>1356</v>
      </c>
      <c r="D1490" s="114" t="s">
        <v>2618</v>
      </c>
      <c r="E1490" s="17" t="s">
        <v>41</v>
      </c>
      <c r="F1490" s="17" t="s">
        <v>64</v>
      </c>
      <c r="G1490" s="114" t="s">
        <v>2629</v>
      </c>
      <c r="H1490" s="116"/>
      <c r="K1490" s="111"/>
      <c r="L1490" s="46"/>
      <c r="M1490"/>
      <c r="N1490"/>
      <c r="O1490"/>
      <c r="P1490"/>
      <c r="Q1490"/>
      <c r="R1490"/>
      <c r="S1490"/>
    </row>
    <row r="1491" spans="1:19" s="110" customFormat="1" hidden="1">
      <c r="A1491" s="113">
        <v>46101</v>
      </c>
      <c r="B1491" s="17" t="s">
        <v>75</v>
      </c>
      <c r="C1491" s="114" t="s">
        <v>2437</v>
      </c>
      <c r="D1491" s="114" t="s">
        <v>2607</v>
      </c>
      <c r="E1491" s="17" t="s">
        <v>41</v>
      </c>
      <c r="F1491" s="17" t="s">
        <v>77</v>
      </c>
      <c r="G1491" s="114" t="s">
        <v>1385</v>
      </c>
      <c r="H1491" s="116"/>
      <c r="K1491" s="111"/>
      <c r="L1491" s="46"/>
      <c r="M1491"/>
      <c r="N1491"/>
      <c r="O1491"/>
      <c r="P1491"/>
      <c r="Q1491"/>
      <c r="R1491"/>
      <c r="S1491"/>
    </row>
    <row r="1492" spans="1:19" s="110" customFormat="1" ht="31.5" hidden="1">
      <c r="A1492" s="113">
        <v>46101</v>
      </c>
      <c r="B1492" s="17" t="s">
        <v>75</v>
      </c>
      <c r="C1492" s="114" t="s">
        <v>2630</v>
      </c>
      <c r="D1492" s="114" t="s">
        <v>2631</v>
      </c>
      <c r="E1492" s="17" t="s">
        <v>41</v>
      </c>
      <c r="F1492" s="17" t="s">
        <v>77</v>
      </c>
      <c r="G1492" s="114" t="s">
        <v>2632</v>
      </c>
      <c r="H1492" s="116"/>
      <c r="K1492" s="111"/>
      <c r="L1492" s="46"/>
      <c r="M1492"/>
      <c r="N1492"/>
      <c r="O1492"/>
      <c r="P1492"/>
      <c r="Q1492"/>
      <c r="R1492"/>
      <c r="S1492"/>
    </row>
    <row r="1493" spans="1:19" s="110" customFormat="1" ht="31.5" hidden="1">
      <c r="A1493" s="113">
        <v>46101</v>
      </c>
      <c r="B1493" s="17" t="s">
        <v>197</v>
      </c>
      <c r="C1493" s="114" t="s">
        <v>1646</v>
      </c>
      <c r="D1493" s="114" t="s">
        <v>1605</v>
      </c>
      <c r="E1493" s="17" t="s">
        <v>41</v>
      </c>
      <c r="F1493" s="17" t="s">
        <v>77</v>
      </c>
      <c r="G1493" s="114" t="s">
        <v>2633</v>
      </c>
      <c r="H1493" s="116"/>
      <c r="K1493" s="111"/>
      <c r="L1493" s="46"/>
      <c r="M1493"/>
      <c r="N1493"/>
      <c r="O1493"/>
      <c r="P1493"/>
      <c r="Q1493"/>
      <c r="R1493"/>
      <c r="S1493"/>
    </row>
    <row r="1494" spans="1:19" s="110" customFormat="1" hidden="1">
      <c r="A1494" s="113">
        <v>46101</v>
      </c>
      <c r="B1494" s="17" t="s">
        <v>75</v>
      </c>
      <c r="C1494" s="114" t="s">
        <v>2634</v>
      </c>
      <c r="D1494" s="114" t="s">
        <v>1692</v>
      </c>
      <c r="E1494" s="17" t="s">
        <v>41</v>
      </c>
      <c r="F1494" s="17" t="s">
        <v>64</v>
      </c>
      <c r="G1494" s="114" t="s">
        <v>2635</v>
      </c>
      <c r="H1494" s="116"/>
      <c r="K1494" s="111"/>
      <c r="L1494" s="46"/>
      <c r="M1494"/>
      <c r="N1494"/>
      <c r="O1494"/>
      <c r="P1494"/>
      <c r="Q1494"/>
      <c r="R1494"/>
      <c r="S1494"/>
    </row>
    <row r="1495" spans="1:19" s="110" customFormat="1" hidden="1">
      <c r="A1495" s="113">
        <v>46101</v>
      </c>
      <c r="B1495" s="17" t="s">
        <v>197</v>
      </c>
      <c r="C1495" s="114" t="s">
        <v>407</v>
      </c>
      <c r="D1495" s="114" t="s">
        <v>423</v>
      </c>
      <c r="E1495" s="17" t="s">
        <v>41</v>
      </c>
      <c r="F1495" s="17" t="s">
        <v>71</v>
      </c>
      <c r="G1495" s="114" t="s">
        <v>2636</v>
      </c>
      <c r="H1495" s="116"/>
      <c r="K1495" s="111"/>
      <c r="L1495" s="46"/>
      <c r="M1495"/>
      <c r="N1495"/>
      <c r="O1495"/>
      <c r="P1495"/>
      <c r="Q1495"/>
      <c r="R1495"/>
      <c r="S1495"/>
    </row>
    <row r="1496" spans="1:19" s="110" customFormat="1" hidden="1">
      <c r="A1496" s="113">
        <v>46101</v>
      </c>
      <c r="B1496" s="17" t="s">
        <v>197</v>
      </c>
      <c r="C1496" s="114" t="s">
        <v>1639</v>
      </c>
      <c r="D1496" s="114" t="s">
        <v>1495</v>
      </c>
      <c r="E1496" s="17" t="s">
        <v>41</v>
      </c>
      <c r="F1496" s="17" t="s">
        <v>77</v>
      </c>
      <c r="G1496" s="114" t="s">
        <v>2637</v>
      </c>
      <c r="H1496" s="116"/>
      <c r="K1496" s="111"/>
      <c r="L1496" s="46"/>
      <c r="M1496"/>
      <c r="N1496"/>
      <c r="O1496"/>
      <c r="P1496"/>
      <c r="Q1496"/>
      <c r="R1496"/>
      <c r="S1496"/>
    </row>
    <row r="1497" spans="1:19" s="110" customFormat="1" hidden="1">
      <c r="A1497" s="113">
        <v>46101</v>
      </c>
      <c r="B1497" s="17" t="s">
        <v>197</v>
      </c>
      <c r="C1497" s="114" t="s">
        <v>1414</v>
      </c>
      <c r="D1497" s="114" t="s">
        <v>1415</v>
      </c>
      <c r="E1497" s="17" t="s">
        <v>41</v>
      </c>
      <c r="F1497" s="17" t="s">
        <v>64</v>
      </c>
      <c r="G1497" s="114" t="s">
        <v>2638</v>
      </c>
      <c r="H1497" s="116"/>
      <c r="K1497" s="111"/>
      <c r="L1497" s="46"/>
      <c r="M1497"/>
      <c r="N1497"/>
      <c r="O1497"/>
      <c r="P1497"/>
      <c r="Q1497"/>
      <c r="R1497"/>
      <c r="S1497"/>
    </row>
    <row r="1498" spans="1:19" s="110" customFormat="1" hidden="1">
      <c r="A1498" s="113">
        <v>46101</v>
      </c>
      <c r="B1498" s="17" t="s">
        <v>75</v>
      </c>
      <c r="C1498" s="114" t="s">
        <v>348</v>
      </c>
      <c r="D1498" s="114" t="s">
        <v>1281</v>
      </c>
      <c r="E1498" s="17" t="s">
        <v>41</v>
      </c>
      <c r="F1498" s="17" t="s">
        <v>77</v>
      </c>
      <c r="G1498" s="114" t="s">
        <v>1385</v>
      </c>
      <c r="H1498" s="116"/>
      <c r="K1498" s="111"/>
      <c r="L1498" s="46"/>
      <c r="M1498"/>
      <c r="N1498"/>
      <c r="O1498"/>
      <c r="P1498"/>
      <c r="Q1498"/>
      <c r="R1498"/>
      <c r="S1498"/>
    </row>
    <row r="1499" spans="1:19" s="110" customFormat="1" ht="31.5" hidden="1">
      <c r="A1499" s="113">
        <v>46101</v>
      </c>
      <c r="B1499" s="17" t="s">
        <v>197</v>
      </c>
      <c r="C1499" s="114" t="s">
        <v>2317</v>
      </c>
      <c r="D1499" s="114" t="s">
        <v>893</v>
      </c>
      <c r="E1499" s="17" t="s">
        <v>41</v>
      </c>
      <c r="F1499" s="17" t="s">
        <v>77</v>
      </c>
      <c r="G1499" s="114" t="s">
        <v>2639</v>
      </c>
      <c r="H1499" s="116"/>
      <c r="K1499" s="111"/>
      <c r="L1499" s="46"/>
      <c r="M1499"/>
      <c r="N1499"/>
      <c r="O1499"/>
      <c r="P1499"/>
      <c r="Q1499"/>
      <c r="R1499"/>
      <c r="S1499"/>
    </row>
    <row r="1500" spans="1:19" s="110" customFormat="1" ht="31.5" hidden="1">
      <c r="A1500" s="113">
        <v>46101</v>
      </c>
      <c r="B1500" s="17" t="s">
        <v>91</v>
      </c>
      <c r="C1500" s="114" t="s">
        <v>2640</v>
      </c>
      <c r="D1500" s="114" t="s">
        <v>2641</v>
      </c>
      <c r="E1500" s="17" t="s">
        <v>41</v>
      </c>
      <c r="F1500" s="17" t="s">
        <v>71</v>
      </c>
      <c r="G1500" s="114" t="s">
        <v>2642</v>
      </c>
      <c r="H1500" s="116"/>
      <c r="K1500" s="111"/>
      <c r="L1500" s="46"/>
      <c r="M1500"/>
      <c r="N1500"/>
      <c r="O1500"/>
      <c r="P1500"/>
      <c r="Q1500"/>
      <c r="R1500"/>
      <c r="S1500"/>
    </row>
    <row r="1501" spans="1:19" s="110" customFormat="1" hidden="1">
      <c r="A1501" s="113">
        <v>46101</v>
      </c>
      <c r="B1501" s="17" t="s">
        <v>76</v>
      </c>
      <c r="C1501" s="114" t="s">
        <v>1261</v>
      </c>
      <c r="D1501" s="114" t="s">
        <v>1869</v>
      </c>
      <c r="E1501" s="17" t="s">
        <v>41</v>
      </c>
      <c r="F1501" s="17" t="s">
        <v>77</v>
      </c>
      <c r="G1501" s="114" t="s">
        <v>1385</v>
      </c>
      <c r="H1501" s="116"/>
      <c r="K1501" s="111"/>
      <c r="L1501" s="46"/>
      <c r="M1501"/>
      <c r="N1501"/>
      <c r="O1501"/>
      <c r="P1501"/>
      <c r="Q1501"/>
      <c r="R1501"/>
      <c r="S1501"/>
    </row>
    <row r="1502" spans="1:19" s="110" customFormat="1" ht="47.25" hidden="1">
      <c r="A1502" s="113">
        <v>46101</v>
      </c>
      <c r="B1502" s="17" t="s">
        <v>75</v>
      </c>
      <c r="C1502" s="114" t="s">
        <v>1905</v>
      </c>
      <c r="D1502" s="114" t="s">
        <v>467</v>
      </c>
      <c r="E1502" s="17" t="s">
        <v>41</v>
      </c>
      <c r="F1502" s="17" t="s">
        <v>64</v>
      </c>
      <c r="G1502" s="114" t="s">
        <v>2643</v>
      </c>
      <c r="H1502" s="116"/>
      <c r="K1502" s="111"/>
      <c r="L1502" s="46"/>
      <c r="M1502"/>
      <c r="N1502"/>
      <c r="O1502"/>
      <c r="P1502"/>
      <c r="Q1502"/>
      <c r="R1502"/>
      <c r="S1502"/>
    </row>
    <row r="1503" spans="1:19" s="110" customFormat="1" hidden="1">
      <c r="A1503" s="113"/>
      <c r="B1503" s="17"/>
      <c r="C1503" s="114"/>
      <c r="D1503" s="114"/>
      <c r="E1503" s="17"/>
      <c r="F1503" s="17"/>
      <c r="G1503" s="114"/>
      <c r="H1503" s="116"/>
      <c r="K1503" s="111"/>
      <c r="L1503" s="46"/>
      <c r="M1503"/>
      <c r="N1503"/>
      <c r="O1503"/>
      <c r="P1503"/>
      <c r="Q1503"/>
      <c r="R1503"/>
      <c r="S1503"/>
    </row>
    <row r="1504" spans="1:19" hidden="1">
      <c r="A1504" s="113"/>
      <c r="B1504" s="17"/>
      <c r="C1504" s="114"/>
      <c r="D1504" s="114"/>
      <c r="E1504" s="17"/>
      <c r="F1504" s="17"/>
      <c r="G1504" s="114"/>
      <c r="H1504" s="17"/>
      <c r="K1504" s="14"/>
      <c r="L1504" s="46"/>
    </row>
    <row r="1505" spans="1:14" hidden="1"/>
    <row r="1506" spans="1:14" hidden="1">
      <c r="A1506" s="3" t="s">
        <v>70</v>
      </c>
      <c r="B1506" s="4" t="s">
        <v>72</v>
      </c>
      <c r="C1506" s="4" t="s">
        <v>16</v>
      </c>
      <c r="D1506" s="34" t="s">
        <v>155</v>
      </c>
      <c r="E1506" s="9" t="s">
        <v>156</v>
      </c>
      <c r="F1506" s="10" t="s">
        <v>157</v>
      </c>
    </row>
    <row r="1507" spans="1:14" hidden="1">
      <c r="A1507" s="135" t="s">
        <v>63</v>
      </c>
      <c r="B1507" s="99" t="s">
        <v>68</v>
      </c>
      <c r="C1507" s="99">
        <v>9</v>
      </c>
      <c r="D1507" s="99">
        <f>C1507</f>
        <v>9</v>
      </c>
      <c r="E1507" s="138">
        <f>D1507+D1509+D1511</f>
        <v>15.333333333333332</v>
      </c>
      <c r="F1507" s="141">
        <f>E1507/12</f>
        <v>1.2777777777777777</v>
      </c>
    </row>
    <row r="1508" spans="1:14" hidden="1">
      <c r="A1508" s="136"/>
      <c r="B1508" s="144" t="s">
        <v>65</v>
      </c>
      <c r="C1508" s="144">
        <v>19</v>
      </c>
      <c r="D1508" s="35" t="s">
        <v>158</v>
      </c>
      <c r="E1508" s="139"/>
      <c r="F1508" s="142"/>
    </row>
    <row r="1509" spans="1:14" hidden="1">
      <c r="A1509" s="136"/>
      <c r="B1509" s="145"/>
      <c r="C1509" s="145"/>
      <c r="D1509" s="16">
        <f>C1508/3</f>
        <v>6.333333333333333</v>
      </c>
      <c r="E1509" s="139"/>
      <c r="F1509" s="142"/>
    </row>
    <row r="1510" spans="1:14" hidden="1">
      <c r="A1510" s="136"/>
      <c r="B1510" s="144" t="s">
        <v>69</v>
      </c>
      <c r="C1510" s="144">
        <v>26</v>
      </c>
      <c r="D1510" s="35" t="s">
        <v>159</v>
      </c>
      <c r="E1510" s="139"/>
      <c r="F1510" s="142"/>
    </row>
    <row r="1511" spans="1:14" hidden="1">
      <c r="A1511" s="137"/>
      <c r="B1511" s="145"/>
      <c r="C1511" s="145"/>
      <c r="D1511" s="16">
        <v>0</v>
      </c>
      <c r="E1511" s="140"/>
      <c r="F1511" s="143"/>
    </row>
    <row r="1512" spans="1:14" hidden="1">
      <c r="A1512" s="36" t="s">
        <v>70</v>
      </c>
      <c r="B1512" s="37" t="s">
        <v>72</v>
      </c>
      <c r="C1512" s="37" t="s">
        <v>16</v>
      </c>
      <c r="D1512" s="146" t="s">
        <v>160</v>
      </c>
      <c r="E1512" s="147"/>
      <c r="F1512" s="148"/>
    </row>
    <row r="1513" spans="1:14" hidden="1">
      <c r="A1513" s="149" t="s">
        <v>62</v>
      </c>
      <c r="B1513" s="16" t="s">
        <v>68</v>
      </c>
      <c r="C1513" s="16">
        <v>3</v>
      </c>
      <c r="D1513" s="151">
        <f>C1513/9</f>
        <v>0.33333333333333331</v>
      </c>
      <c r="E1513" s="152"/>
      <c r="F1513" s="153"/>
    </row>
    <row r="1514" spans="1:14" ht="16.5" hidden="1" thickBot="1">
      <c r="A1514" s="150"/>
      <c r="B1514" s="20" t="s">
        <v>69</v>
      </c>
      <c r="C1514" s="20">
        <v>2</v>
      </c>
      <c r="D1514" s="154"/>
      <c r="E1514" s="155"/>
      <c r="F1514" s="156"/>
    </row>
    <row r="1515" spans="1:14" hidden="1"/>
    <row r="1516" spans="1:14" hidden="1">
      <c r="A1516" t="s">
        <v>2570</v>
      </c>
    </row>
    <row r="1517" spans="1:14" hidden="1">
      <c r="A1517" s="37" t="s">
        <v>58</v>
      </c>
      <c r="B1517" s="37" t="s">
        <v>67</v>
      </c>
      <c r="C1517" s="37" t="s">
        <v>3</v>
      </c>
      <c r="D1517" s="37" t="s">
        <v>57</v>
      </c>
      <c r="E1517" s="37" t="s">
        <v>59</v>
      </c>
      <c r="F1517" s="37" t="s">
        <v>61</v>
      </c>
      <c r="G1517" s="37" t="s">
        <v>60</v>
      </c>
      <c r="H1517" s="37" t="s">
        <v>66</v>
      </c>
      <c r="K1517" s="14"/>
      <c r="L1517" s="14"/>
      <c r="M1517" s="32"/>
      <c r="N1517" s="14"/>
    </row>
    <row r="1518" spans="1:14" ht="31.5" hidden="1">
      <c r="A1518" s="113">
        <v>46104</v>
      </c>
      <c r="B1518" s="17" t="s">
        <v>75</v>
      </c>
      <c r="C1518" s="114" t="s">
        <v>2446</v>
      </c>
      <c r="D1518" s="114" t="s">
        <v>2644</v>
      </c>
      <c r="E1518" s="17" t="s">
        <v>40</v>
      </c>
      <c r="F1518" s="17" t="s">
        <v>77</v>
      </c>
      <c r="G1518" s="114" t="s">
        <v>2645</v>
      </c>
      <c r="H1518" s="17"/>
      <c r="K1518" s="14"/>
      <c r="L1518" s="14"/>
      <c r="M1518" s="14"/>
      <c r="N1518" s="14"/>
    </row>
    <row r="1519" spans="1:14" hidden="1">
      <c r="A1519" s="113">
        <v>46104</v>
      </c>
      <c r="B1519" s="17" t="s">
        <v>197</v>
      </c>
      <c r="C1519" s="114" t="s">
        <v>2317</v>
      </c>
      <c r="D1519" s="114" t="s">
        <v>2513</v>
      </c>
      <c r="E1519" s="17" t="s">
        <v>41</v>
      </c>
      <c r="F1519" s="17" t="s">
        <v>71</v>
      </c>
      <c r="G1519" s="114" t="s">
        <v>2646</v>
      </c>
      <c r="H1519" s="17"/>
      <c r="K1519" s="14"/>
      <c r="L1519" s="14"/>
      <c r="M1519" s="14"/>
      <c r="N1519" s="14"/>
    </row>
    <row r="1520" spans="1:14" hidden="1">
      <c r="A1520" s="113">
        <v>46104</v>
      </c>
      <c r="B1520" s="17" t="s">
        <v>75</v>
      </c>
      <c r="C1520" s="114" t="s">
        <v>2317</v>
      </c>
      <c r="D1520" s="114" t="s">
        <v>2366</v>
      </c>
      <c r="E1520" s="17" t="s">
        <v>41</v>
      </c>
      <c r="F1520" s="17" t="s">
        <v>71</v>
      </c>
      <c r="G1520" s="114" t="s">
        <v>2647</v>
      </c>
      <c r="H1520" s="17"/>
      <c r="K1520" s="14"/>
      <c r="L1520" s="14"/>
      <c r="M1520" s="14"/>
      <c r="N1520" s="14"/>
    </row>
    <row r="1521" spans="1:18" ht="31.5" hidden="1">
      <c r="A1521" s="113">
        <v>46104</v>
      </c>
      <c r="B1521" s="17" t="s">
        <v>91</v>
      </c>
      <c r="C1521" s="114" t="s">
        <v>348</v>
      </c>
      <c r="D1521" s="114" t="s">
        <v>2648</v>
      </c>
      <c r="E1521" s="17" t="s">
        <v>41</v>
      </c>
      <c r="F1521" s="17" t="s">
        <v>77</v>
      </c>
      <c r="G1521" s="114" t="s">
        <v>2649</v>
      </c>
      <c r="H1521" s="17"/>
      <c r="K1521" s="14"/>
      <c r="L1521" s="32"/>
      <c r="M1521" s="14"/>
      <c r="N1521" s="14"/>
    </row>
    <row r="1522" spans="1:18" ht="31.5" hidden="1">
      <c r="A1522" s="113">
        <v>46104</v>
      </c>
      <c r="B1522" s="17" t="s">
        <v>91</v>
      </c>
      <c r="C1522" s="114" t="s">
        <v>348</v>
      </c>
      <c r="D1522" s="114" t="s">
        <v>2650</v>
      </c>
      <c r="E1522" s="17" t="s">
        <v>41</v>
      </c>
      <c r="F1522" s="17" t="s">
        <v>64</v>
      </c>
      <c r="G1522" s="114" t="s">
        <v>2651</v>
      </c>
      <c r="H1522" s="17"/>
      <c r="K1522" s="14"/>
      <c r="L1522" s="32"/>
      <c r="M1522" s="14"/>
      <c r="N1522" s="14"/>
    </row>
    <row r="1523" spans="1:18" hidden="1">
      <c r="A1523" s="113">
        <v>46104</v>
      </c>
      <c r="B1523" s="17" t="s">
        <v>91</v>
      </c>
      <c r="C1523" s="114" t="s">
        <v>2652</v>
      </c>
      <c r="D1523" s="114" t="s">
        <v>2653</v>
      </c>
      <c r="E1523" s="17" t="s">
        <v>41</v>
      </c>
      <c r="F1523" s="17" t="s">
        <v>77</v>
      </c>
      <c r="G1523" s="114" t="s">
        <v>2654</v>
      </c>
      <c r="H1523" s="17"/>
      <c r="K1523" s="14"/>
      <c r="L1523" s="32"/>
      <c r="M1523" s="14"/>
      <c r="N1523" s="14"/>
    </row>
    <row r="1524" spans="1:18" hidden="1">
      <c r="A1524" s="113">
        <v>46104</v>
      </c>
      <c r="B1524" s="17" t="s">
        <v>91</v>
      </c>
      <c r="C1524" s="114" t="s">
        <v>2652</v>
      </c>
      <c r="D1524" s="114" t="s">
        <v>2655</v>
      </c>
      <c r="E1524" s="17" t="s">
        <v>41</v>
      </c>
      <c r="F1524" s="17" t="s">
        <v>77</v>
      </c>
      <c r="G1524" s="114" t="s">
        <v>2654</v>
      </c>
      <c r="H1524" s="17"/>
      <c r="K1524" s="14"/>
      <c r="L1524" s="32"/>
      <c r="M1524" s="14"/>
      <c r="N1524" s="14"/>
    </row>
    <row r="1525" spans="1:18" ht="94.5" hidden="1">
      <c r="A1525" s="113">
        <v>46105</v>
      </c>
      <c r="B1525" s="17" t="s">
        <v>75</v>
      </c>
      <c r="C1525" s="114" t="s">
        <v>362</v>
      </c>
      <c r="D1525" s="114" t="s">
        <v>421</v>
      </c>
      <c r="E1525" s="17" t="s">
        <v>40</v>
      </c>
      <c r="F1525" s="17" t="s">
        <v>71</v>
      </c>
      <c r="G1525" s="114" t="s">
        <v>2656</v>
      </c>
      <c r="H1525" s="17"/>
      <c r="K1525" s="14"/>
      <c r="L1525" s="32"/>
      <c r="M1525" s="14"/>
      <c r="N1525" s="14"/>
    </row>
    <row r="1526" spans="1:18" ht="220.5" hidden="1">
      <c r="A1526" s="113">
        <v>46105</v>
      </c>
      <c r="B1526" s="17" t="s">
        <v>75</v>
      </c>
      <c r="C1526" s="114" t="s">
        <v>349</v>
      </c>
      <c r="D1526" s="114" t="s">
        <v>2481</v>
      </c>
      <c r="E1526" s="17" t="s">
        <v>40</v>
      </c>
      <c r="F1526" s="17" t="s">
        <v>71</v>
      </c>
      <c r="G1526" s="114" t="s">
        <v>2657</v>
      </c>
      <c r="H1526" s="17"/>
      <c r="K1526" s="14"/>
      <c r="L1526" s="32"/>
      <c r="M1526" s="14"/>
      <c r="N1526" s="14"/>
    </row>
    <row r="1527" spans="1:18" ht="63" hidden="1">
      <c r="A1527" s="113">
        <v>46105</v>
      </c>
      <c r="B1527" s="17" t="s">
        <v>75</v>
      </c>
      <c r="C1527" s="114" t="s">
        <v>348</v>
      </c>
      <c r="D1527" s="114" t="s">
        <v>2052</v>
      </c>
      <c r="E1527" s="17" t="s">
        <v>40</v>
      </c>
      <c r="F1527" s="17" t="s">
        <v>77</v>
      </c>
      <c r="G1527" s="114" t="s">
        <v>2658</v>
      </c>
      <c r="H1527" s="17"/>
      <c r="K1527" s="14"/>
      <c r="L1527" s="32"/>
      <c r="M1527" s="14"/>
      <c r="N1527" s="32"/>
    </row>
    <row r="1528" spans="1:18" ht="173.25" hidden="1">
      <c r="A1528" s="113">
        <v>46105</v>
      </c>
      <c r="B1528" s="17" t="s">
        <v>75</v>
      </c>
      <c r="C1528" s="114" t="s">
        <v>2659</v>
      </c>
      <c r="D1528" s="114" t="s">
        <v>539</v>
      </c>
      <c r="E1528" s="17" t="s">
        <v>40</v>
      </c>
      <c r="F1528" s="17" t="s">
        <v>71</v>
      </c>
      <c r="G1528" s="114" t="s">
        <v>2660</v>
      </c>
      <c r="H1528" s="17"/>
      <c r="K1528" s="14"/>
      <c r="L1528" s="32"/>
      <c r="M1528" s="14"/>
      <c r="N1528" s="32"/>
    </row>
    <row r="1529" spans="1:18" ht="31.5" hidden="1">
      <c r="A1529" s="113">
        <v>46106</v>
      </c>
      <c r="B1529" s="17" t="s">
        <v>75</v>
      </c>
      <c r="C1529" s="114" t="s">
        <v>349</v>
      </c>
      <c r="D1529" s="114" t="s">
        <v>2661</v>
      </c>
      <c r="E1529" s="17" t="s">
        <v>40</v>
      </c>
      <c r="F1529" s="17" t="s">
        <v>71</v>
      </c>
      <c r="G1529" s="114" t="s">
        <v>2662</v>
      </c>
      <c r="H1529" s="17"/>
      <c r="K1529" s="14"/>
      <c r="L1529" s="32"/>
      <c r="M1529" s="14"/>
      <c r="N1529" s="32"/>
    </row>
    <row r="1530" spans="1:18" ht="78.75" hidden="1">
      <c r="A1530" s="113">
        <v>46106</v>
      </c>
      <c r="B1530" s="17" t="s">
        <v>75</v>
      </c>
      <c r="C1530" s="114" t="s">
        <v>1442</v>
      </c>
      <c r="D1530" s="114" t="s">
        <v>2168</v>
      </c>
      <c r="E1530" s="17" t="s">
        <v>40</v>
      </c>
      <c r="F1530" s="17" t="s">
        <v>77</v>
      </c>
      <c r="G1530" s="114" t="s">
        <v>2663</v>
      </c>
      <c r="H1530" s="17"/>
      <c r="K1530" s="14"/>
      <c r="L1530" s="32"/>
      <c r="M1530" s="14"/>
      <c r="N1530" s="32"/>
    </row>
    <row r="1531" spans="1:18" ht="63" hidden="1">
      <c r="A1531" s="113">
        <v>46106</v>
      </c>
      <c r="B1531" s="17" t="s">
        <v>75</v>
      </c>
      <c r="C1531" s="114" t="s">
        <v>533</v>
      </c>
      <c r="D1531" s="114" t="s">
        <v>2664</v>
      </c>
      <c r="E1531" s="17" t="s">
        <v>40</v>
      </c>
      <c r="F1531" s="17" t="s">
        <v>71</v>
      </c>
      <c r="G1531" s="114" t="s">
        <v>2665</v>
      </c>
      <c r="H1531" s="17"/>
      <c r="K1531" s="14"/>
      <c r="L1531" s="32"/>
      <c r="M1531" s="14"/>
      <c r="N1531" s="32"/>
    </row>
    <row r="1532" spans="1:18" ht="63" hidden="1">
      <c r="A1532" s="113">
        <v>46106</v>
      </c>
      <c r="B1532" s="17" t="s">
        <v>75</v>
      </c>
      <c r="C1532" s="114" t="s">
        <v>1356</v>
      </c>
      <c r="D1532" s="114" t="s">
        <v>539</v>
      </c>
      <c r="E1532" s="17" t="s">
        <v>40</v>
      </c>
      <c r="F1532" s="17" t="s">
        <v>71</v>
      </c>
      <c r="G1532" s="114" t="s">
        <v>2666</v>
      </c>
      <c r="H1532" s="17"/>
      <c r="K1532" s="14"/>
      <c r="L1532" s="46"/>
      <c r="R1532" s="115"/>
    </row>
    <row r="1533" spans="1:18" ht="94.5" hidden="1">
      <c r="A1533" s="113">
        <v>46107</v>
      </c>
      <c r="B1533" s="17" t="s">
        <v>75</v>
      </c>
      <c r="C1533" s="114" t="s">
        <v>1314</v>
      </c>
      <c r="D1533" s="114" t="s">
        <v>1315</v>
      </c>
      <c r="E1533" s="17" t="s">
        <v>40</v>
      </c>
      <c r="F1533" s="17" t="s">
        <v>71</v>
      </c>
      <c r="G1533" s="114" t="s">
        <v>2667</v>
      </c>
      <c r="H1533" s="17"/>
      <c r="K1533" s="14"/>
      <c r="L1533" s="46"/>
      <c r="R1533" s="115"/>
    </row>
    <row r="1534" spans="1:18" ht="141.75" hidden="1">
      <c r="A1534" s="113">
        <v>46107</v>
      </c>
      <c r="B1534" s="17" t="s">
        <v>76</v>
      </c>
      <c r="C1534" s="114" t="s">
        <v>2314</v>
      </c>
      <c r="D1534" s="114" t="s">
        <v>2386</v>
      </c>
      <c r="E1534" s="17" t="s">
        <v>40</v>
      </c>
      <c r="F1534" s="17" t="s">
        <v>71</v>
      </c>
      <c r="G1534" s="114" t="s">
        <v>2668</v>
      </c>
      <c r="H1534" s="17"/>
      <c r="K1534" s="14"/>
      <c r="L1534" s="46"/>
      <c r="R1534" s="115"/>
    </row>
    <row r="1535" spans="1:18" ht="78.75" hidden="1">
      <c r="A1535" s="113">
        <v>46107</v>
      </c>
      <c r="B1535" s="17" t="s">
        <v>75</v>
      </c>
      <c r="C1535" s="114" t="s">
        <v>2543</v>
      </c>
      <c r="D1535" s="114" t="s">
        <v>2616</v>
      </c>
      <c r="E1535" s="17" t="s">
        <v>40</v>
      </c>
      <c r="F1535" s="17" t="s">
        <v>77</v>
      </c>
      <c r="G1535" s="114" t="s">
        <v>2669</v>
      </c>
      <c r="H1535" s="17"/>
      <c r="K1535" s="14"/>
      <c r="L1535" s="46"/>
      <c r="R1535" s="115"/>
    </row>
    <row r="1536" spans="1:18" ht="47.25" hidden="1">
      <c r="A1536" s="113">
        <v>46107</v>
      </c>
      <c r="B1536" s="17" t="s">
        <v>76</v>
      </c>
      <c r="C1536" s="114" t="s">
        <v>1376</v>
      </c>
      <c r="D1536" s="114" t="s">
        <v>1502</v>
      </c>
      <c r="E1536" s="17" t="s">
        <v>40</v>
      </c>
      <c r="F1536" s="17" t="s">
        <v>71</v>
      </c>
      <c r="G1536" s="114" t="s">
        <v>2670</v>
      </c>
      <c r="H1536" s="17"/>
      <c r="K1536" s="14"/>
      <c r="L1536" s="46"/>
      <c r="R1536" s="115"/>
    </row>
    <row r="1537" spans="1:19" ht="157.5" hidden="1">
      <c r="A1537" s="113">
        <v>46107</v>
      </c>
      <c r="B1537" s="17" t="s">
        <v>197</v>
      </c>
      <c r="C1537" s="114" t="s">
        <v>407</v>
      </c>
      <c r="D1537" s="114" t="s">
        <v>1858</v>
      </c>
      <c r="E1537" s="17" t="s">
        <v>40</v>
      </c>
      <c r="F1537" s="17" t="s">
        <v>71</v>
      </c>
      <c r="G1537" s="114" t="s">
        <v>2671</v>
      </c>
      <c r="H1537" s="17"/>
      <c r="K1537" s="14"/>
      <c r="L1537" s="46"/>
      <c r="R1537" s="115"/>
    </row>
    <row r="1538" spans="1:19" ht="141.75" hidden="1">
      <c r="A1538" s="113">
        <v>46108</v>
      </c>
      <c r="B1538" s="17" t="s">
        <v>75</v>
      </c>
      <c r="C1538" s="114" t="s">
        <v>1905</v>
      </c>
      <c r="D1538" s="114" t="s">
        <v>1906</v>
      </c>
      <c r="E1538" s="17" t="s">
        <v>40</v>
      </c>
      <c r="F1538" s="17" t="s">
        <v>77</v>
      </c>
      <c r="G1538" s="114" t="s">
        <v>2672</v>
      </c>
      <c r="H1538" s="17"/>
      <c r="K1538" s="14"/>
      <c r="L1538" s="46"/>
      <c r="R1538" s="115"/>
    </row>
    <row r="1539" spans="1:19" ht="315" hidden="1">
      <c r="A1539" s="113">
        <v>46108</v>
      </c>
      <c r="B1539" s="17" t="s">
        <v>75</v>
      </c>
      <c r="C1539" s="114" t="s">
        <v>414</v>
      </c>
      <c r="D1539" s="114" t="s">
        <v>1512</v>
      </c>
      <c r="E1539" s="17" t="s">
        <v>40</v>
      </c>
      <c r="F1539" s="17" t="s">
        <v>71</v>
      </c>
      <c r="G1539" s="114" t="s">
        <v>2673</v>
      </c>
      <c r="H1539" s="17"/>
      <c r="K1539" s="14"/>
      <c r="L1539" s="46"/>
    </row>
    <row r="1540" spans="1:19" ht="94.5" hidden="1">
      <c r="A1540" s="113">
        <v>46108</v>
      </c>
      <c r="B1540" s="17" t="s">
        <v>75</v>
      </c>
      <c r="C1540" s="114" t="s">
        <v>1414</v>
      </c>
      <c r="D1540" s="114" t="s">
        <v>2674</v>
      </c>
      <c r="E1540" s="17" t="s">
        <v>40</v>
      </c>
      <c r="F1540" s="17" t="s">
        <v>71</v>
      </c>
      <c r="G1540" s="114" t="s">
        <v>2675</v>
      </c>
      <c r="H1540" s="17"/>
      <c r="K1540" s="14"/>
      <c r="L1540" s="46"/>
    </row>
    <row r="1541" spans="1:19" hidden="1">
      <c r="A1541" s="113"/>
      <c r="B1541" s="17"/>
      <c r="C1541" s="114"/>
      <c r="D1541" s="114"/>
      <c r="E1541" s="17"/>
      <c r="F1541" s="17"/>
      <c r="G1541" s="114"/>
      <c r="H1541" s="17"/>
      <c r="K1541" s="14"/>
      <c r="L1541" s="46"/>
    </row>
    <row r="1542" spans="1:19" s="110" customFormat="1" hidden="1">
      <c r="A1542" s="113"/>
      <c r="B1542" s="17"/>
      <c r="C1542" s="114"/>
      <c r="D1542" s="114"/>
      <c r="E1542" s="17"/>
      <c r="F1542" s="17"/>
      <c r="G1542" s="114"/>
      <c r="H1542" s="116"/>
      <c r="K1542" s="111"/>
      <c r="L1542" s="46"/>
      <c r="M1542"/>
      <c r="N1542"/>
      <c r="O1542"/>
      <c r="P1542"/>
      <c r="Q1542"/>
      <c r="R1542"/>
      <c r="S1542"/>
    </row>
    <row r="1543" spans="1:19" hidden="1">
      <c r="A1543" s="113"/>
      <c r="B1543" s="17"/>
      <c r="C1543" s="114"/>
      <c r="D1543" s="114"/>
      <c r="E1543" s="17"/>
      <c r="F1543" s="17"/>
      <c r="G1543" s="114"/>
      <c r="H1543" s="17"/>
      <c r="K1543" s="14"/>
      <c r="L1543" s="46"/>
    </row>
    <row r="1544" spans="1:19" hidden="1"/>
    <row r="1545" spans="1:19" hidden="1">
      <c r="A1545" s="3" t="s">
        <v>70</v>
      </c>
      <c r="B1545" s="4" t="s">
        <v>72</v>
      </c>
      <c r="C1545" s="4" t="s">
        <v>16</v>
      </c>
      <c r="D1545" s="34" t="s">
        <v>155</v>
      </c>
      <c r="E1545" s="9" t="s">
        <v>156</v>
      </c>
      <c r="F1545" s="10" t="s">
        <v>157</v>
      </c>
    </row>
    <row r="1546" spans="1:19" hidden="1">
      <c r="A1546" s="135" t="s">
        <v>63</v>
      </c>
      <c r="B1546" s="99" t="s">
        <v>68</v>
      </c>
      <c r="C1546" s="99">
        <v>2</v>
      </c>
      <c r="D1546" s="99">
        <f>C1546</f>
        <v>2</v>
      </c>
      <c r="E1546" s="138">
        <f>D1546+D1548+D1550</f>
        <v>2.3333333333333335</v>
      </c>
      <c r="F1546" s="141">
        <f>E1546/12</f>
        <v>0.19444444444444445</v>
      </c>
    </row>
    <row r="1547" spans="1:19" hidden="1">
      <c r="A1547" s="136"/>
      <c r="B1547" s="144" t="s">
        <v>65</v>
      </c>
      <c r="C1547" s="144">
        <v>1</v>
      </c>
      <c r="D1547" s="35" t="s">
        <v>158</v>
      </c>
      <c r="E1547" s="139"/>
      <c r="F1547" s="142"/>
    </row>
    <row r="1548" spans="1:19" hidden="1">
      <c r="A1548" s="136"/>
      <c r="B1548" s="145"/>
      <c r="C1548" s="145"/>
      <c r="D1548" s="16">
        <f>C1547/3</f>
        <v>0.33333333333333331</v>
      </c>
      <c r="E1548" s="139"/>
      <c r="F1548" s="142"/>
    </row>
    <row r="1549" spans="1:19" hidden="1">
      <c r="A1549" s="136"/>
      <c r="B1549" s="144" t="s">
        <v>69</v>
      </c>
      <c r="C1549" s="144">
        <v>3</v>
      </c>
      <c r="D1549" s="35" t="s">
        <v>159</v>
      </c>
      <c r="E1549" s="139"/>
      <c r="F1549" s="142"/>
    </row>
    <row r="1550" spans="1:19" hidden="1">
      <c r="A1550" s="137"/>
      <c r="B1550" s="145"/>
      <c r="C1550" s="145"/>
      <c r="D1550" s="16">
        <v>0</v>
      </c>
      <c r="E1550" s="140"/>
      <c r="F1550" s="143"/>
    </row>
    <row r="1551" spans="1:19" hidden="1">
      <c r="A1551" s="36" t="s">
        <v>70</v>
      </c>
      <c r="B1551" s="37" t="s">
        <v>72</v>
      </c>
      <c r="C1551" s="37" t="s">
        <v>16</v>
      </c>
      <c r="D1551" s="146" t="s">
        <v>160</v>
      </c>
      <c r="E1551" s="147"/>
      <c r="F1551" s="148"/>
    </row>
    <row r="1552" spans="1:19" hidden="1">
      <c r="A1552" s="149" t="s">
        <v>62</v>
      </c>
      <c r="B1552" s="16" t="s">
        <v>68</v>
      </c>
      <c r="C1552" s="16">
        <v>12</v>
      </c>
      <c r="D1552" s="151">
        <f>C1552/9</f>
        <v>1.3333333333333333</v>
      </c>
      <c r="E1552" s="152"/>
      <c r="F1552" s="153"/>
    </row>
    <row r="1553" spans="1:14" ht="16.5" hidden="1" thickBot="1">
      <c r="A1553" s="150"/>
      <c r="B1553" s="20" t="s">
        <v>69</v>
      </c>
      <c r="C1553" s="20">
        <v>5</v>
      </c>
      <c r="D1553" s="154"/>
      <c r="E1553" s="155"/>
      <c r="F1553" s="156"/>
    </row>
    <row r="1554" spans="1:14" hidden="1"/>
    <row r="1555" spans="1:14" hidden="1">
      <c r="A1555" t="s">
        <v>2676</v>
      </c>
    </row>
    <row r="1556" spans="1:14" hidden="1">
      <c r="A1556" s="37" t="s">
        <v>58</v>
      </c>
      <c r="B1556" s="37" t="s">
        <v>67</v>
      </c>
      <c r="C1556" s="37" t="s">
        <v>3</v>
      </c>
      <c r="D1556" s="37" t="s">
        <v>57</v>
      </c>
      <c r="E1556" s="37" t="s">
        <v>59</v>
      </c>
      <c r="F1556" s="37" t="s">
        <v>61</v>
      </c>
      <c r="G1556" s="37" t="s">
        <v>60</v>
      </c>
      <c r="H1556" s="37" t="s">
        <v>66</v>
      </c>
      <c r="K1556" s="14"/>
      <c r="L1556" s="14"/>
      <c r="M1556" s="32"/>
      <c r="N1556" s="14"/>
    </row>
    <row r="1557" spans="1:14" hidden="1">
      <c r="A1557" s="113">
        <v>46112</v>
      </c>
      <c r="B1557" s="17" t="s">
        <v>75</v>
      </c>
      <c r="C1557" s="114" t="s">
        <v>2317</v>
      </c>
      <c r="D1557" s="114" t="s">
        <v>2677</v>
      </c>
      <c r="E1557" s="17" t="s">
        <v>41</v>
      </c>
      <c r="F1557" s="17" t="s">
        <v>71</v>
      </c>
      <c r="G1557" s="114" t="s">
        <v>2678</v>
      </c>
      <c r="H1557" s="17"/>
      <c r="K1557" s="14"/>
      <c r="L1557" s="14"/>
      <c r="M1557" s="14"/>
      <c r="N1557" s="14"/>
    </row>
    <row r="1558" spans="1:14" hidden="1">
      <c r="A1558" s="113">
        <v>46112</v>
      </c>
      <c r="B1558" s="17" t="s">
        <v>76</v>
      </c>
      <c r="C1558" s="114" t="s">
        <v>1233</v>
      </c>
      <c r="D1558" s="114" t="s">
        <v>2580</v>
      </c>
      <c r="E1558" s="17" t="s">
        <v>41</v>
      </c>
      <c r="F1558" s="17" t="s">
        <v>64</v>
      </c>
      <c r="G1558" s="114" t="s">
        <v>2679</v>
      </c>
      <c r="H1558" s="17"/>
      <c r="K1558" s="14"/>
      <c r="L1558" s="32"/>
      <c r="M1558" s="14"/>
      <c r="N1558" s="14"/>
    </row>
    <row r="1559" spans="1:14" ht="31.5" hidden="1">
      <c r="A1559" s="113">
        <v>46112</v>
      </c>
      <c r="B1559" s="17" t="s">
        <v>75</v>
      </c>
      <c r="C1559" s="114" t="s">
        <v>1247</v>
      </c>
      <c r="D1559" s="114" t="s">
        <v>2680</v>
      </c>
      <c r="E1559" s="17" t="s">
        <v>41</v>
      </c>
      <c r="F1559" s="17" t="s">
        <v>77</v>
      </c>
      <c r="G1559" s="114" t="s">
        <v>2681</v>
      </c>
      <c r="H1559" s="17"/>
      <c r="K1559" s="14"/>
      <c r="L1559" s="32"/>
      <c r="M1559" s="14"/>
      <c r="N1559" s="14"/>
    </row>
    <row r="1560" spans="1:14" ht="47.25" hidden="1">
      <c r="A1560" s="113">
        <v>46113</v>
      </c>
      <c r="B1560" s="17" t="s">
        <v>76</v>
      </c>
      <c r="C1560" s="114" t="s">
        <v>1233</v>
      </c>
      <c r="D1560" s="114" t="s">
        <v>2580</v>
      </c>
      <c r="E1560" s="17" t="s">
        <v>41</v>
      </c>
      <c r="F1560" s="17" t="s">
        <v>64</v>
      </c>
      <c r="G1560" s="114" t="s">
        <v>2682</v>
      </c>
      <c r="H1560" s="17"/>
      <c r="K1560" s="14"/>
      <c r="L1560" s="32"/>
      <c r="M1560" s="14"/>
      <c r="N1560" s="14"/>
    </row>
    <row r="1561" spans="1:14" ht="31.5" hidden="1">
      <c r="A1561" s="113">
        <v>46113</v>
      </c>
      <c r="B1561" s="17" t="s">
        <v>75</v>
      </c>
      <c r="C1561" s="114" t="s">
        <v>1639</v>
      </c>
      <c r="D1561" s="114" t="s">
        <v>1495</v>
      </c>
      <c r="E1561" s="17" t="s">
        <v>41</v>
      </c>
      <c r="F1561" s="17" t="s">
        <v>71</v>
      </c>
      <c r="G1561" s="114" t="s">
        <v>2683</v>
      </c>
      <c r="H1561" s="17"/>
      <c r="K1561" s="14"/>
      <c r="L1561" s="32"/>
      <c r="M1561" s="14"/>
      <c r="N1561" s="14"/>
    </row>
    <row r="1562" spans="1:14" ht="47.25" hidden="1">
      <c r="A1562" s="113">
        <v>46113</v>
      </c>
      <c r="B1562" s="17" t="s">
        <v>197</v>
      </c>
      <c r="C1562" s="114" t="s">
        <v>1202</v>
      </c>
      <c r="D1562" s="114" t="s">
        <v>1860</v>
      </c>
      <c r="E1562" s="17" t="s">
        <v>41</v>
      </c>
      <c r="F1562" s="17" t="s">
        <v>71</v>
      </c>
      <c r="G1562" s="114" t="s">
        <v>2684</v>
      </c>
      <c r="H1562" s="17"/>
      <c r="K1562" s="14"/>
      <c r="L1562" s="32"/>
      <c r="M1562" s="14"/>
      <c r="N1562" s="14"/>
    </row>
    <row r="1563" spans="1:14" hidden="1">
      <c r="A1563" s="113">
        <v>46113</v>
      </c>
      <c r="B1563" s="17" t="s">
        <v>75</v>
      </c>
      <c r="C1563" s="114" t="s">
        <v>2659</v>
      </c>
      <c r="D1563" s="114" t="s">
        <v>1336</v>
      </c>
      <c r="E1563" s="17" t="s">
        <v>41</v>
      </c>
      <c r="F1563" s="17" t="s">
        <v>77</v>
      </c>
      <c r="G1563" s="114" t="s">
        <v>1385</v>
      </c>
      <c r="H1563" s="17"/>
      <c r="K1563" s="14"/>
      <c r="L1563" s="32"/>
      <c r="M1563" s="14"/>
      <c r="N1563" s="14"/>
    </row>
    <row r="1564" spans="1:14" ht="78.75" hidden="1">
      <c r="A1564" s="113">
        <v>46114</v>
      </c>
      <c r="B1564" s="17" t="s">
        <v>76</v>
      </c>
      <c r="C1564" s="114" t="s">
        <v>1233</v>
      </c>
      <c r="D1564" s="114" t="s">
        <v>2685</v>
      </c>
      <c r="E1564" s="17" t="s">
        <v>40</v>
      </c>
      <c r="F1564" s="17" t="s">
        <v>71</v>
      </c>
      <c r="G1564" s="114" t="s">
        <v>2686</v>
      </c>
      <c r="H1564" s="17"/>
      <c r="K1564" s="14"/>
      <c r="L1564" s="32"/>
      <c r="M1564" s="14"/>
      <c r="N1564" s="14"/>
    </row>
    <row r="1565" spans="1:14" hidden="1">
      <c r="A1565" s="113">
        <v>46114</v>
      </c>
      <c r="B1565" s="17" t="s">
        <v>197</v>
      </c>
      <c r="C1565" s="114" t="s">
        <v>2687</v>
      </c>
      <c r="D1565" s="114" t="s">
        <v>1860</v>
      </c>
      <c r="E1565" s="17" t="s">
        <v>41</v>
      </c>
      <c r="F1565" s="17" t="s">
        <v>71</v>
      </c>
      <c r="G1565" s="114" t="s">
        <v>2688</v>
      </c>
      <c r="H1565" s="17"/>
      <c r="K1565" s="14"/>
      <c r="L1565" s="32"/>
      <c r="M1565" s="14"/>
      <c r="N1565" s="32"/>
    </row>
    <row r="1566" spans="1:14" hidden="1">
      <c r="A1566" s="113">
        <v>46114</v>
      </c>
      <c r="B1566" s="17" t="s">
        <v>197</v>
      </c>
      <c r="C1566" s="114" t="s">
        <v>1261</v>
      </c>
      <c r="D1566" s="114" t="s">
        <v>1493</v>
      </c>
      <c r="E1566" s="17" t="s">
        <v>41</v>
      </c>
      <c r="F1566" s="17" t="s">
        <v>77</v>
      </c>
      <c r="G1566" s="114" t="s">
        <v>1385</v>
      </c>
      <c r="H1566" s="17"/>
      <c r="K1566" s="14"/>
      <c r="L1566" s="32"/>
      <c r="M1566" s="14"/>
      <c r="N1566" s="32"/>
    </row>
    <row r="1567" spans="1:14" hidden="1">
      <c r="A1567" s="113">
        <v>46114</v>
      </c>
      <c r="B1567" s="17" t="s">
        <v>75</v>
      </c>
      <c r="C1567" s="114" t="s">
        <v>49</v>
      </c>
      <c r="D1567" s="114" t="s">
        <v>2480</v>
      </c>
      <c r="E1567" s="17" t="s">
        <v>41</v>
      </c>
      <c r="F1567" s="17" t="s">
        <v>77</v>
      </c>
      <c r="G1567" s="114" t="s">
        <v>1385</v>
      </c>
      <c r="H1567" s="17"/>
      <c r="K1567" s="14"/>
      <c r="L1567" s="32"/>
      <c r="M1567" s="14"/>
      <c r="N1567" s="32"/>
    </row>
    <row r="1568" spans="1:14" ht="31.5" hidden="1">
      <c r="A1568" s="113">
        <v>46114</v>
      </c>
      <c r="B1568" s="17" t="s">
        <v>75</v>
      </c>
      <c r="C1568" s="114" t="s">
        <v>1960</v>
      </c>
      <c r="D1568" s="114" t="s">
        <v>2052</v>
      </c>
      <c r="E1568" s="17" t="s">
        <v>41</v>
      </c>
      <c r="F1568" s="17" t="s">
        <v>64</v>
      </c>
      <c r="G1568" s="114" t="s">
        <v>2689</v>
      </c>
      <c r="H1568" s="17"/>
      <c r="K1568" s="14"/>
      <c r="L1568" s="32"/>
      <c r="M1568" s="14"/>
      <c r="N1568" s="32"/>
    </row>
    <row r="1569" spans="1:19" hidden="1">
      <c r="A1569" s="113">
        <v>46114</v>
      </c>
      <c r="B1569" s="17" t="s">
        <v>197</v>
      </c>
      <c r="C1569" s="114" t="s">
        <v>2659</v>
      </c>
      <c r="D1569" s="114" t="s">
        <v>1336</v>
      </c>
      <c r="E1569" s="17" t="s">
        <v>41</v>
      </c>
      <c r="F1569" s="17" t="s">
        <v>77</v>
      </c>
      <c r="G1569" s="114" t="s">
        <v>1385</v>
      </c>
      <c r="H1569" s="17"/>
      <c r="K1569" s="14"/>
      <c r="L1569" s="32"/>
      <c r="M1569" s="14"/>
      <c r="N1569" s="32"/>
    </row>
    <row r="1570" spans="1:19" s="110" customFormat="1" hidden="1">
      <c r="A1570" s="113">
        <v>46114</v>
      </c>
      <c r="B1570" s="17" t="s">
        <v>197</v>
      </c>
      <c r="C1570" s="114" t="s">
        <v>2690</v>
      </c>
      <c r="D1570" s="114" t="s">
        <v>2691</v>
      </c>
      <c r="E1570" s="17" t="s">
        <v>41</v>
      </c>
      <c r="F1570" s="17" t="s">
        <v>71</v>
      </c>
      <c r="G1570" s="114" t="s">
        <v>2692</v>
      </c>
      <c r="H1570" s="116"/>
      <c r="K1570" s="111"/>
      <c r="L1570" s="46"/>
      <c r="M1570"/>
      <c r="N1570"/>
      <c r="O1570"/>
      <c r="P1570"/>
      <c r="Q1570"/>
      <c r="R1570"/>
      <c r="S1570"/>
    </row>
    <row r="1571" spans="1:19" s="110" customFormat="1" ht="31.5" hidden="1">
      <c r="A1571" s="113">
        <v>46114</v>
      </c>
      <c r="B1571" s="17" t="s">
        <v>76</v>
      </c>
      <c r="C1571" s="114" t="s">
        <v>1589</v>
      </c>
      <c r="D1571" s="114" t="s">
        <v>1315</v>
      </c>
      <c r="E1571" s="17" t="s">
        <v>41</v>
      </c>
      <c r="F1571" s="17" t="s">
        <v>64</v>
      </c>
      <c r="G1571" s="114" t="s">
        <v>2693</v>
      </c>
      <c r="H1571" s="116"/>
      <c r="K1571" s="111"/>
      <c r="L1571" s="46"/>
      <c r="M1571"/>
      <c r="N1571"/>
      <c r="O1571"/>
      <c r="P1571"/>
      <c r="Q1571"/>
      <c r="R1571"/>
      <c r="S1571"/>
    </row>
    <row r="1572" spans="1:19" ht="31.5" hidden="1">
      <c r="A1572" s="113">
        <v>46114</v>
      </c>
      <c r="B1572" s="17" t="s">
        <v>75</v>
      </c>
      <c r="C1572" s="114" t="s">
        <v>2317</v>
      </c>
      <c r="D1572" s="114" t="s">
        <v>2366</v>
      </c>
      <c r="E1572" s="17" t="s">
        <v>41</v>
      </c>
      <c r="F1572" s="17" t="s">
        <v>71</v>
      </c>
      <c r="G1572" s="114" t="s">
        <v>2694</v>
      </c>
      <c r="H1572" s="17"/>
      <c r="K1572" s="14"/>
      <c r="L1572" s="14"/>
      <c r="M1572" s="14"/>
      <c r="N1572" s="14"/>
    </row>
    <row r="1573" spans="1:19" s="110" customFormat="1" hidden="1">
      <c r="A1573" s="113">
        <v>46114</v>
      </c>
      <c r="B1573" s="17" t="s">
        <v>197</v>
      </c>
      <c r="C1573" s="114" t="s">
        <v>1261</v>
      </c>
      <c r="D1573" s="114" t="s">
        <v>1875</v>
      </c>
      <c r="E1573" s="17" t="s">
        <v>41</v>
      </c>
      <c r="F1573" s="17" t="s">
        <v>77</v>
      </c>
      <c r="G1573" s="114" t="s">
        <v>1385</v>
      </c>
      <c r="H1573" s="116"/>
      <c r="K1573" s="111"/>
      <c r="L1573" s="46"/>
      <c r="M1573"/>
      <c r="N1573"/>
      <c r="O1573"/>
      <c r="P1573"/>
      <c r="Q1573"/>
      <c r="R1573"/>
      <c r="S1573"/>
    </row>
    <row r="1574" spans="1:19" s="110" customFormat="1" ht="31.5" hidden="1">
      <c r="A1574" s="113">
        <v>46114</v>
      </c>
      <c r="B1574" s="17" t="s">
        <v>197</v>
      </c>
      <c r="C1574" s="114" t="s">
        <v>414</v>
      </c>
      <c r="D1574" s="114" t="s">
        <v>1512</v>
      </c>
      <c r="E1574" s="17" t="s">
        <v>41</v>
      </c>
      <c r="F1574" s="17" t="s">
        <v>71</v>
      </c>
      <c r="G1574" s="114" t="s">
        <v>2695</v>
      </c>
      <c r="H1574" s="116"/>
      <c r="K1574" s="111"/>
      <c r="L1574" s="46"/>
      <c r="M1574"/>
      <c r="N1574"/>
      <c r="O1574"/>
      <c r="P1574"/>
      <c r="Q1574"/>
      <c r="R1574"/>
      <c r="S1574"/>
    </row>
    <row r="1575" spans="1:19" ht="78.75" hidden="1">
      <c r="A1575" s="113">
        <v>46114</v>
      </c>
      <c r="B1575" s="17" t="s">
        <v>75</v>
      </c>
      <c r="C1575" s="114" t="s">
        <v>349</v>
      </c>
      <c r="D1575" s="114" t="s">
        <v>2696</v>
      </c>
      <c r="E1575" s="17" t="s">
        <v>41</v>
      </c>
      <c r="F1575" s="17" t="s">
        <v>71</v>
      </c>
      <c r="G1575" s="114" t="s">
        <v>2697</v>
      </c>
      <c r="H1575" s="17"/>
      <c r="K1575" s="14"/>
      <c r="L1575" s="32"/>
      <c r="M1575" s="14"/>
      <c r="N1575" s="14"/>
    </row>
    <row r="1576" spans="1:19" s="110" customFormat="1" hidden="1">
      <c r="A1576" s="113"/>
      <c r="B1576" s="17"/>
      <c r="C1576" s="114"/>
      <c r="D1576" s="114"/>
      <c r="E1576" s="17"/>
      <c r="F1576" s="17"/>
      <c r="G1576" s="114"/>
      <c r="H1576" s="116"/>
      <c r="K1576" s="111"/>
      <c r="L1576" s="46"/>
      <c r="M1576"/>
      <c r="N1576"/>
      <c r="O1576"/>
      <c r="P1576"/>
      <c r="Q1576"/>
      <c r="R1576"/>
      <c r="S1576"/>
    </row>
    <row r="1577" spans="1:19" s="110" customFormat="1" hidden="1">
      <c r="A1577" s="113"/>
      <c r="B1577" s="17"/>
      <c r="C1577" s="114"/>
      <c r="D1577" s="114"/>
      <c r="E1577" s="17"/>
      <c r="F1577" s="17"/>
      <c r="G1577" s="114"/>
      <c r="H1577" s="116"/>
      <c r="K1577" s="111"/>
      <c r="L1577" s="46"/>
      <c r="M1577"/>
      <c r="N1577"/>
      <c r="O1577"/>
      <c r="P1577"/>
      <c r="Q1577"/>
      <c r="R1577"/>
      <c r="S1577"/>
    </row>
    <row r="1578" spans="1:19" s="110" customFormat="1" hidden="1">
      <c r="A1578" s="113"/>
      <c r="B1578" s="17"/>
      <c r="C1578" s="114"/>
      <c r="D1578" s="114"/>
      <c r="E1578" s="17"/>
      <c r="F1578" s="17"/>
      <c r="G1578" s="114"/>
      <c r="H1578" s="116"/>
      <c r="K1578" s="111"/>
      <c r="L1578" s="46"/>
      <c r="M1578"/>
      <c r="N1578"/>
      <c r="O1578"/>
      <c r="P1578"/>
      <c r="Q1578"/>
      <c r="R1578"/>
      <c r="S1578"/>
    </row>
    <row r="1579" spans="1:19" s="110" customFormat="1" hidden="1">
      <c r="A1579" s="113"/>
      <c r="B1579" s="17"/>
      <c r="C1579" s="114"/>
      <c r="D1579" s="114"/>
      <c r="E1579" s="17"/>
      <c r="F1579" s="17"/>
      <c r="G1579" s="114"/>
      <c r="H1579" s="116"/>
      <c r="K1579" s="111"/>
      <c r="L1579" s="46"/>
      <c r="M1579"/>
      <c r="N1579"/>
      <c r="O1579"/>
      <c r="P1579"/>
      <c r="Q1579"/>
      <c r="R1579"/>
      <c r="S1579"/>
    </row>
    <row r="1580" spans="1:19" s="110" customFormat="1" hidden="1">
      <c r="A1580" s="113"/>
      <c r="B1580" s="17"/>
      <c r="C1580" s="114"/>
      <c r="D1580" s="114"/>
      <c r="E1580" s="17"/>
      <c r="F1580" s="17"/>
      <c r="G1580" s="114"/>
      <c r="H1580" s="116"/>
      <c r="K1580" s="111"/>
      <c r="L1580" s="46"/>
      <c r="M1580"/>
      <c r="N1580"/>
      <c r="O1580"/>
      <c r="P1580"/>
      <c r="Q1580"/>
      <c r="R1580"/>
      <c r="S1580"/>
    </row>
    <row r="1581" spans="1:19" s="110" customFormat="1" hidden="1">
      <c r="A1581" s="113"/>
      <c r="B1581" s="17"/>
      <c r="C1581" s="114"/>
      <c r="D1581" s="114"/>
      <c r="E1581" s="17"/>
      <c r="F1581" s="17"/>
      <c r="G1581" s="114"/>
      <c r="H1581" s="116"/>
      <c r="K1581" s="111"/>
      <c r="L1581" s="46"/>
      <c r="M1581"/>
      <c r="N1581"/>
      <c r="O1581"/>
      <c r="P1581"/>
      <c r="Q1581"/>
      <c r="R1581"/>
      <c r="S1581"/>
    </row>
    <row r="1582" spans="1:19" hidden="1">
      <c r="A1582" s="113"/>
      <c r="B1582" s="17"/>
      <c r="C1582" s="114"/>
      <c r="D1582" s="114"/>
      <c r="E1582" s="17"/>
      <c r="F1582" s="17"/>
      <c r="G1582" s="114"/>
      <c r="H1582" s="17"/>
      <c r="K1582" s="14"/>
      <c r="L1582" s="46"/>
    </row>
    <row r="1583" spans="1:19" hidden="1"/>
    <row r="1584" spans="1:19" hidden="1">
      <c r="A1584" s="3" t="s">
        <v>70</v>
      </c>
      <c r="B1584" s="4" t="s">
        <v>72</v>
      </c>
      <c r="C1584" s="4" t="s">
        <v>16</v>
      </c>
      <c r="D1584" s="34" t="s">
        <v>155</v>
      </c>
      <c r="E1584" s="9" t="s">
        <v>156</v>
      </c>
      <c r="F1584" s="10" t="s">
        <v>157</v>
      </c>
    </row>
    <row r="1585" spans="1:14" hidden="1">
      <c r="A1585" s="135" t="s">
        <v>63</v>
      </c>
      <c r="B1585" s="99" t="s">
        <v>68</v>
      </c>
      <c r="C1585" s="99">
        <v>8</v>
      </c>
      <c r="D1585" s="99">
        <f>C1585</f>
        <v>8</v>
      </c>
      <c r="E1585" s="138">
        <f>D1585+D1587+D1589</f>
        <v>9.3333333333333339</v>
      </c>
      <c r="F1585" s="141">
        <f>E1585/12</f>
        <v>0.77777777777777779</v>
      </c>
    </row>
    <row r="1586" spans="1:14" hidden="1">
      <c r="A1586" s="136"/>
      <c r="B1586" s="144" t="s">
        <v>65</v>
      </c>
      <c r="C1586" s="144">
        <v>4</v>
      </c>
      <c r="D1586" s="35" t="s">
        <v>158</v>
      </c>
      <c r="E1586" s="139"/>
      <c r="F1586" s="142"/>
    </row>
    <row r="1587" spans="1:14" hidden="1">
      <c r="A1587" s="136"/>
      <c r="B1587" s="145"/>
      <c r="C1587" s="145"/>
      <c r="D1587" s="16">
        <f>C1586/3</f>
        <v>1.3333333333333333</v>
      </c>
      <c r="E1587" s="139"/>
      <c r="F1587" s="142"/>
    </row>
    <row r="1588" spans="1:14" hidden="1">
      <c r="A1588" s="136"/>
      <c r="B1588" s="144" t="s">
        <v>69</v>
      </c>
      <c r="C1588" s="144">
        <v>6</v>
      </c>
      <c r="D1588" s="35" t="s">
        <v>159</v>
      </c>
      <c r="E1588" s="139"/>
      <c r="F1588" s="142"/>
    </row>
    <row r="1589" spans="1:14" hidden="1">
      <c r="A1589" s="137"/>
      <c r="B1589" s="145"/>
      <c r="C1589" s="145"/>
      <c r="D1589" s="16">
        <v>0</v>
      </c>
      <c r="E1589" s="140"/>
      <c r="F1589" s="143"/>
    </row>
    <row r="1590" spans="1:14" hidden="1">
      <c r="A1590" s="36" t="s">
        <v>70</v>
      </c>
      <c r="B1590" s="37" t="s">
        <v>72</v>
      </c>
      <c r="C1590" s="37" t="s">
        <v>16</v>
      </c>
      <c r="D1590" s="146" t="s">
        <v>160</v>
      </c>
      <c r="E1590" s="147"/>
      <c r="F1590" s="148"/>
    </row>
    <row r="1591" spans="1:14" hidden="1">
      <c r="A1591" s="149" t="s">
        <v>62</v>
      </c>
      <c r="B1591" s="16" t="s">
        <v>68</v>
      </c>
      <c r="C1591" s="16">
        <v>1</v>
      </c>
      <c r="D1591" s="151">
        <f>C1591/9</f>
        <v>0.1111111111111111</v>
      </c>
      <c r="E1591" s="152"/>
      <c r="F1591" s="153"/>
    </row>
    <row r="1592" spans="1:14" ht="16.5" hidden="1" thickBot="1">
      <c r="A1592" s="150"/>
      <c r="B1592" s="20" t="s">
        <v>69</v>
      </c>
      <c r="C1592" s="20">
        <v>0</v>
      </c>
      <c r="D1592" s="154"/>
      <c r="E1592" s="155"/>
      <c r="F1592" s="156"/>
    </row>
    <row r="1593" spans="1:14" hidden="1"/>
    <row r="1594" spans="1:14" hidden="1">
      <c r="A1594" t="s">
        <v>2698</v>
      </c>
    </row>
    <row r="1595" spans="1:14" hidden="1">
      <c r="A1595" s="37" t="s">
        <v>58</v>
      </c>
      <c r="B1595" s="37" t="s">
        <v>67</v>
      </c>
      <c r="C1595" s="37" t="s">
        <v>3</v>
      </c>
      <c r="D1595" s="37" t="s">
        <v>57</v>
      </c>
      <c r="E1595" s="37" t="s">
        <v>59</v>
      </c>
      <c r="F1595" s="37" t="s">
        <v>61</v>
      </c>
      <c r="G1595" s="37" t="s">
        <v>60</v>
      </c>
      <c r="H1595" s="37" t="s">
        <v>66</v>
      </c>
      <c r="K1595" s="14"/>
      <c r="L1595" s="14"/>
      <c r="M1595" s="32"/>
      <c r="N1595" s="14"/>
    </row>
    <row r="1596" spans="1:14" hidden="1">
      <c r="A1596" s="113">
        <v>46119</v>
      </c>
      <c r="B1596" s="17" t="s">
        <v>197</v>
      </c>
      <c r="C1596" s="114" t="s">
        <v>1261</v>
      </c>
      <c r="D1596" s="114" t="s">
        <v>2699</v>
      </c>
      <c r="E1596" s="17" t="s">
        <v>41</v>
      </c>
      <c r="F1596" s="17" t="s">
        <v>77</v>
      </c>
      <c r="G1596" s="114" t="s">
        <v>1385</v>
      </c>
      <c r="H1596" s="17"/>
      <c r="K1596" s="14"/>
      <c r="L1596" s="14"/>
      <c r="M1596" s="14"/>
      <c r="N1596" s="14"/>
    </row>
    <row r="1597" spans="1:14" hidden="1">
      <c r="A1597" s="113">
        <v>46119</v>
      </c>
      <c r="B1597" s="17" t="s">
        <v>75</v>
      </c>
      <c r="C1597" s="114" t="s">
        <v>49</v>
      </c>
      <c r="D1597" s="114" t="s">
        <v>2480</v>
      </c>
      <c r="E1597" s="17" t="s">
        <v>41</v>
      </c>
      <c r="F1597" s="17" t="s">
        <v>77</v>
      </c>
      <c r="G1597" s="114" t="s">
        <v>1385</v>
      </c>
      <c r="H1597" s="17"/>
      <c r="K1597" s="14"/>
      <c r="L1597" s="32"/>
      <c r="M1597" s="14"/>
      <c r="N1597" s="14"/>
    </row>
    <row r="1598" spans="1:14" hidden="1">
      <c r="A1598" s="113">
        <v>46119</v>
      </c>
      <c r="B1598" s="17" t="s">
        <v>75</v>
      </c>
      <c r="C1598" s="114" t="s">
        <v>2700</v>
      </c>
      <c r="D1598" s="114" t="s">
        <v>2701</v>
      </c>
      <c r="E1598" s="17" t="s">
        <v>41</v>
      </c>
      <c r="F1598" s="17" t="s">
        <v>77</v>
      </c>
      <c r="G1598" s="114" t="s">
        <v>1385</v>
      </c>
      <c r="H1598" s="17"/>
      <c r="K1598" s="14"/>
      <c r="L1598" s="32"/>
      <c r="M1598" s="14"/>
      <c r="N1598" s="14"/>
    </row>
    <row r="1599" spans="1:14" hidden="1">
      <c r="A1599" s="113">
        <v>46119</v>
      </c>
      <c r="B1599" s="17" t="s">
        <v>75</v>
      </c>
      <c r="C1599" s="114" t="s">
        <v>2702</v>
      </c>
      <c r="D1599" s="114" t="s">
        <v>2703</v>
      </c>
      <c r="E1599" s="17" t="s">
        <v>41</v>
      </c>
      <c r="F1599" s="17" t="s">
        <v>77</v>
      </c>
      <c r="G1599" s="114" t="s">
        <v>1385</v>
      </c>
      <c r="H1599" s="17"/>
      <c r="K1599" s="14"/>
      <c r="L1599" s="32"/>
      <c r="M1599" s="14"/>
      <c r="N1599" s="14"/>
    </row>
    <row r="1600" spans="1:14" hidden="1">
      <c r="A1600" s="113">
        <v>46119</v>
      </c>
      <c r="B1600" s="17" t="s">
        <v>75</v>
      </c>
      <c r="C1600" s="114" t="s">
        <v>2626</v>
      </c>
      <c r="D1600" s="114" t="s">
        <v>2627</v>
      </c>
      <c r="E1600" s="17" t="s">
        <v>41</v>
      </c>
      <c r="F1600" s="17" t="s">
        <v>77</v>
      </c>
      <c r="G1600" s="114" t="s">
        <v>1385</v>
      </c>
      <c r="H1600" s="17"/>
      <c r="K1600" s="14"/>
      <c r="L1600" s="32"/>
      <c r="M1600" s="14"/>
      <c r="N1600" s="14"/>
    </row>
    <row r="1601" spans="1:19" ht="47.25" hidden="1">
      <c r="A1601" s="113">
        <v>46119</v>
      </c>
      <c r="B1601" s="17" t="s">
        <v>75</v>
      </c>
      <c r="C1601" s="114" t="s">
        <v>2317</v>
      </c>
      <c r="D1601" s="114" t="s">
        <v>2704</v>
      </c>
      <c r="E1601" s="17" t="s">
        <v>41</v>
      </c>
      <c r="F1601" s="17" t="s">
        <v>64</v>
      </c>
      <c r="G1601" s="114" t="s">
        <v>2705</v>
      </c>
      <c r="H1601" s="17"/>
      <c r="K1601" s="14"/>
      <c r="L1601" s="32"/>
      <c r="M1601" s="14"/>
      <c r="N1601" s="14"/>
    </row>
    <row r="1602" spans="1:19" ht="31.5" hidden="1">
      <c r="A1602" s="113">
        <v>46119</v>
      </c>
      <c r="B1602" s="17" t="s">
        <v>75</v>
      </c>
      <c r="C1602" s="114" t="s">
        <v>2317</v>
      </c>
      <c r="D1602" s="114" t="s">
        <v>2706</v>
      </c>
      <c r="E1602" s="17" t="s">
        <v>41</v>
      </c>
      <c r="F1602" s="17" t="s">
        <v>64</v>
      </c>
      <c r="G1602" s="114" t="s">
        <v>2707</v>
      </c>
      <c r="H1602" s="17"/>
      <c r="K1602" s="14"/>
      <c r="L1602" s="32"/>
      <c r="M1602" s="14"/>
      <c r="N1602" s="14"/>
    </row>
    <row r="1603" spans="1:19" hidden="1">
      <c r="A1603" s="113">
        <v>46119</v>
      </c>
      <c r="B1603" s="17" t="s">
        <v>197</v>
      </c>
      <c r="C1603" s="114" t="s">
        <v>2626</v>
      </c>
      <c r="D1603" s="114" t="s">
        <v>2708</v>
      </c>
      <c r="E1603" s="17" t="s">
        <v>41</v>
      </c>
      <c r="F1603" s="17" t="s">
        <v>71</v>
      </c>
      <c r="G1603" s="114" t="s">
        <v>2709</v>
      </c>
      <c r="H1603" s="17"/>
      <c r="K1603" s="14"/>
      <c r="L1603" s="32"/>
      <c r="M1603" s="14"/>
      <c r="N1603" s="14"/>
    </row>
    <row r="1604" spans="1:19" ht="31.5" hidden="1">
      <c r="A1604" s="113">
        <v>46119</v>
      </c>
      <c r="B1604" s="17" t="s">
        <v>75</v>
      </c>
      <c r="C1604" s="114" t="s">
        <v>2626</v>
      </c>
      <c r="D1604" s="114" t="s">
        <v>2627</v>
      </c>
      <c r="E1604" s="17" t="s">
        <v>41</v>
      </c>
      <c r="F1604" s="17" t="s">
        <v>64</v>
      </c>
      <c r="G1604" s="114" t="s">
        <v>2710</v>
      </c>
      <c r="H1604" s="17"/>
      <c r="K1604" s="14"/>
      <c r="L1604" s="32"/>
      <c r="M1604" s="14"/>
      <c r="N1604" s="32"/>
    </row>
    <row r="1605" spans="1:19" hidden="1">
      <c r="A1605" s="113">
        <v>46119</v>
      </c>
      <c r="B1605" s="17" t="s">
        <v>75</v>
      </c>
      <c r="C1605" s="114" t="s">
        <v>25</v>
      </c>
      <c r="D1605" s="114" t="s">
        <v>2425</v>
      </c>
      <c r="E1605" s="17" t="s">
        <v>41</v>
      </c>
      <c r="F1605" s="17" t="s">
        <v>71</v>
      </c>
      <c r="G1605" s="114" t="s">
        <v>2711</v>
      </c>
      <c r="H1605" s="17"/>
      <c r="K1605" s="14"/>
      <c r="L1605" s="32"/>
      <c r="M1605" s="14"/>
      <c r="N1605" s="32"/>
    </row>
    <row r="1606" spans="1:19" hidden="1">
      <c r="A1606" s="113">
        <v>46119</v>
      </c>
      <c r="B1606" s="17" t="s">
        <v>91</v>
      </c>
      <c r="C1606" s="114" t="s">
        <v>2626</v>
      </c>
      <c r="D1606" s="114" t="s">
        <v>2712</v>
      </c>
      <c r="E1606" s="17" t="s">
        <v>41</v>
      </c>
      <c r="F1606" s="17" t="s">
        <v>77</v>
      </c>
      <c r="G1606" s="114" t="s">
        <v>2601</v>
      </c>
      <c r="H1606" s="17"/>
      <c r="K1606" s="14"/>
      <c r="L1606" s="32"/>
      <c r="M1606" s="14"/>
      <c r="N1606" s="32"/>
    </row>
    <row r="1607" spans="1:19" hidden="1">
      <c r="A1607" s="113">
        <v>46119</v>
      </c>
      <c r="B1607" s="17" t="s">
        <v>91</v>
      </c>
      <c r="C1607" s="114" t="s">
        <v>2626</v>
      </c>
      <c r="D1607" s="114" t="s">
        <v>2713</v>
      </c>
      <c r="E1607" s="17" t="s">
        <v>41</v>
      </c>
      <c r="F1607" s="17" t="s">
        <v>77</v>
      </c>
      <c r="G1607" s="114" t="s">
        <v>1385</v>
      </c>
      <c r="H1607" s="17"/>
      <c r="K1607" s="14"/>
      <c r="L1607" s="32"/>
      <c r="M1607" s="14"/>
      <c r="N1607" s="32"/>
    </row>
    <row r="1608" spans="1:19" hidden="1">
      <c r="A1608" s="113">
        <v>46119</v>
      </c>
      <c r="B1608" s="17" t="s">
        <v>91</v>
      </c>
      <c r="C1608" s="114" t="s">
        <v>2626</v>
      </c>
      <c r="D1608" s="114" t="s">
        <v>2714</v>
      </c>
      <c r="E1608" s="17" t="s">
        <v>41</v>
      </c>
      <c r="F1608" s="17" t="s">
        <v>77</v>
      </c>
      <c r="G1608" s="114" t="s">
        <v>1385</v>
      </c>
      <c r="H1608" s="17"/>
      <c r="K1608" s="14"/>
      <c r="L1608" s="32"/>
      <c r="M1608" s="14"/>
      <c r="N1608" s="32"/>
    </row>
    <row r="1609" spans="1:19" s="110" customFormat="1" ht="78.75" hidden="1">
      <c r="A1609" s="113">
        <v>46119</v>
      </c>
      <c r="B1609" s="17" t="s">
        <v>75</v>
      </c>
      <c r="C1609" s="114" t="s">
        <v>1960</v>
      </c>
      <c r="D1609" s="114" t="s">
        <v>2052</v>
      </c>
      <c r="E1609" s="17" t="s">
        <v>41</v>
      </c>
      <c r="F1609" s="17" t="s">
        <v>71</v>
      </c>
      <c r="G1609" s="114" t="s">
        <v>2715</v>
      </c>
      <c r="H1609" s="116"/>
      <c r="K1609" s="111"/>
      <c r="L1609" s="46"/>
      <c r="M1609"/>
      <c r="N1609"/>
      <c r="O1609"/>
      <c r="P1609"/>
      <c r="Q1609"/>
      <c r="R1609"/>
      <c r="S1609"/>
    </row>
    <row r="1610" spans="1:19" s="110" customFormat="1" ht="47.25" hidden="1">
      <c r="A1610" s="113">
        <v>46120</v>
      </c>
      <c r="B1610" s="17" t="s">
        <v>76</v>
      </c>
      <c r="C1610" s="114" t="s">
        <v>1589</v>
      </c>
      <c r="D1610" s="114" t="s">
        <v>1315</v>
      </c>
      <c r="E1610" s="17" t="s">
        <v>40</v>
      </c>
      <c r="F1610" s="17" t="s">
        <v>71</v>
      </c>
      <c r="G1610" s="114" t="s">
        <v>2716</v>
      </c>
      <c r="H1610" s="116"/>
      <c r="K1610" s="111"/>
      <c r="L1610" s="46"/>
      <c r="M1610"/>
      <c r="N1610"/>
      <c r="O1610"/>
      <c r="P1610"/>
      <c r="Q1610"/>
      <c r="R1610"/>
      <c r="S1610"/>
    </row>
    <row r="1611" spans="1:19" ht="31.5" hidden="1">
      <c r="A1611" s="113">
        <v>46120</v>
      </c>
      <c r="B1611" s="17" t="s">
        <v>76</v>
      </c>
      <c r="C1611" s="114" t="s">
        <v>1452</v>
      </c>
      <c r="D1611" s="114" t="s">
        <v>1483</v>
      </c>
      <c r="E1611" s="17" t="s">
        <v>40</v>
      </c>
      <c r="F1611" s="17" t="s">
        <v>71</v>
      </c>
      <c r="G1611" s="114" t="s">
        <v>2717</v>
      </c>
      <c r="H1611" s="17"/>
      <c r="K1611" s="14"/>
      <c r="L1611" s="14"/>
      <c r="M1611" s="14"/>
      <c r="N1611" s="14"/>
    </row>
    <row r="1612" spans="1:19" s="110" customFormat="1" ht="47.25" hidden="1">
      <c r="A1612" s="113">
        <v>46120</v>
      </c>
      <c r="B1612" s="17" t="s">
        <v>76</v>
      </c>
      <c r="C1612" s="114" t="s">
        <v>176</v>
      </c>
      <c r="D1612" s="114" t="s">
        <v>2718</v>
      </c>
      <c r="E1612" s="17" t="s">
        <v>40</v>
      </c>
      <c r="F1612" s="17" t="s">
        <v>77</v>
      </c>
      <c r="G1612" s="114" t="s">
        <v>2719</v>
      </c>
      <c r="H1612" s="116"/>
      <c r="K1612" s="111"/>
      <c r="L1612" s="46"/>
      <c r="M1612"/>
      <c r="N1612"/>
      <c r="O1612"/>
      <c r="P1612"/>
      <c r="Q1612"/>
      <c r="R1612"/>
      <c r="S1612"/>
    </row>
    <row r="1613" spans="1:19" s="110" customFormat="1" ht="94.5" hidden="1">
      <c r="A1613" s="113">
        <v>46120</v>
      </c>
      <c r="B1613" s="17" t="s">
        <v>75</v>
      </c>
      <c r="C1613" s="114" t="s">
        <v>1247</v>
      </c>
      <c r="D1613" s="114" t="s">
        <v>1248</v>
      </c>
      <c r="E1613" s="17" t="s">
        <v>40</v>
      </c>
      <c r="F1613" s="17" t="s">
        <v>71</v>
      </c>
      <c r="G1613" s="114" t="s">
        <v>2720</v>
      </c>
      <c r="H1613" s="116"/>
      <c r="K1613" s="111"/>
      <c r="L1613" s="46"/>
      <c r="M1613"/>
      <c r="N1613"/>
      <c r="O1613"/>
      <c r="P1613"/>
      <c r="Q1613"/>
      <c r="R1613"/>
      <c r="S1613"/>
    </row>
    <row r="1614" spans="1:19" ht="31.5" hidden="1">
      <c r="A1614" s="113">
        <v>46121</v>
      </c>
      <c r="B1614" s="17" t="s">
        <v>75</v>
      </c>
      <c r="C1614" s="114" t="s">
        <v>2721</v>
      </c>
      <c r="D1614" s="114" t="s">
        <v>2722</v>
      </c>
      <c r="E1614" s="17" t="s">
        <v>41</v>
      </c>
      <c r="F1614" s="17" t="s">
        <v>77</v>
      </c>
      <c r="G1614" s="114" t="s">
        <v>2723</v>
      </c>
      <c r="H1614" s="17"/>
      <c r="K1614" s="14"/>
      <c r="L1614" s="32"/>
      <c r="M1614" s="14"/>
      <c r="N1614" s="14"/>
    </row>
    <row r="1615" spans="1:19" s="110" customFormat="1" ht="63" hidden="1">
      <c r="A1615" s="113">
        <v>46121</v>
      </c>
      <c r="B1615" s="17" t="s">
        <v>76</v>
      </c>
      <c r="C1615" s="114" t="s">
        <v>1233</v>
      </c>
      <c r="D1615" s="114" t="s">
        <v>2580</v>
      </c>
      <c r="E1615" s="17" t="s">
        <v>41</v>
      </c>
      <c r="F1615" s="17" t="s">
        <v>71</v>
      </c>
      <c r="G1615" s="114" t="s">
        <v>2724</v>
      </c>
      <c r="H1615" s="116"/>
      <c r="K1615" s="111"/>
      <c r="L1615" s="46"/>
      <c r="M1615"/>
      <c r="N1615"/>
      <c r="O1615"/>
      <c r="P1615"/>
      <c r="Q1615"/>
      <c r="R1615"/>
      <c r="S1615"/>
    </row>
    <row r="1616" spans="1:19" s="110" customFormat="1" hidden="1">
      <c r="A1616" s="113">
        <v>46121</v>
      </c>
      <c r="B1616" s="17" t="s">
        <v>91</v>
      </c>
      <c r="C1616" s="114" t="s">
        <v>2626</v>
      </c>
      <c r="D1616" s="114" t="s">
        <v>2713</v>
      </c>
      <c r="E1616" s="17" t="s">
        <v>41</v>
      </c>
      <c r="F1616" s="17" t="s">
        <v>77</v>
      </c>
      <c r="G1616" s="114" t="s">
        <v>2601</v>
      </c>
      <c r="H1616" s="116"/>
      <c r="K1616" s="111"/>
      <c r="L1616" s="46"/>
      <c r="M1616"/>
      <c r="N1616"/>
      <c r="O1616"/>
      <c r="P1616"/>
      <c r="Q1616"/>
      <c r="R1616"/>
      <c r="S1616"/>
    </row>
    <row r="1617" spans="1:19" s="110" customFormat="1" hidden="1">
      <c r="A1617" s="113">
        <v>46121</v>
      </c>
      <c r="B1617" s="17" t="s">
        <v>91</v>
      </c>
      <c r="C1617" s="114" t="s">
        <v>2626</v>
      </c>
      <c r="D1617" s="114" t="s">
        <v>2714</v>
      </c>
      <c r="E1617" s="17" t="s">
        <v>41</v>
      </c>
      <c r="F1617" s="17" t="s">
        <v>77</v>
      </c>
      <c r="G1617" s="114" t="s">
        <v>2601</v>
      </c>
      <c r="H1617" s="116"/>
      <c r="K1617" s="111"/>
      <c r="L1617" s="46"/>
      <c r="M1617"/>
      <c r="N1617"/>
      <c r="O1617"/>
      <c r="P1617"/>
      <c r="Q1617"/>
      <c r="R1617"/>
      <c r="S1617"/>
    </row>
    <row r="1618" spans="1:19" s="110" customFormat="1" ht="47.25" hidden="1">
      <c r="A1618" s="113">
        <v>46121</v>
      </c>
      <c r="B1618" s="17" t="s">
        <v>91</v>
      </c>
      <c r="C1618" s="114" t="s">
        <v>2725</v>
      </c>
      <c r="D1618" s="114" t="s">
        <v>2726</v>
      </c>
      <c r="E1618" s="17" t="s">
        <v>41</v>
      </c>
      <c r="F1618" s="17" t="s">
        <v>64</v>
      </c>
      <c r="G1618" s="114" t="s">
        <v>2727</v>
      </c>
      <c r="H1618" s="116"/>
      <c r="K1618" s="111"/>
      <c r="L1618" s="46"/>
      <c r="M1618"/>
      <c r="N1618"/>
      <c r="O1618"/>
      <c r="P1618"/>
      <c r="Q1618"/>
      <c r="R1618"/>
      <c r="S1618"/>
    </row>
    <row r="1619" spans="1:19" s="110" customFormat="1" ht="110.25" hidden="1">
      <c r="A1619" s="113">
        <v>46121</v>
      </c>
      <c r="B1619" s="17" t="s">
        <v>197</v>
      </c>
      <c r="C1619" s="114" t="s">
        <v>1261</v>
      </c>
      <c r="D1619" s="114" t="s">
        <v>1493</v>
      </c>
      <c r="E1619" s="17" t="s">
        <v>40</v>
      </c>
      <c r="F1619" s="17" t="s">
        <v>71</v>
      </c>
      <c r="G1619" s="114" t="s">
        <v>2728</v>
      </c>
      <c r="H1619" s="116"/>
      <c r="K1619" s="111"/>
      <c r="L1619" s="46"/>
      <c r="M1619"/>
      <c r="N1619"/>
      <c r="O1619"/>
      <c r="P1619"/>
      <c r="Q1619"/>
      <c r="R1619"/>
      <c r="S1619"/>
    </row>
    <row r="1620" spans="1:19" s="110" customFormat="1" ht="31.5" hidden="1">
      <c r="A1620" s="113">
        <v>46121</v>
      </c>
      <c r="B1620" s="17" t="s">
        <v>75</v>
      </c>
      <c r="C1620" s="114" t="s">
        <v>2317</v>
      </c>
      <c r="D1620" s="114" t="s">
        <v>2677</v>
      </c>
      <c r="E1620" s="17" t="s">
        <v>40</v>
      </c>
      <c r="F1620" s="17" t="s">
        <v>71</v>
      </c>
      <c r="G1620" s="114" t="s">
        <v>2729</v>
      </c>
      <c r="H1620" s="116"/>
      <c r="K1620" s="111"/>
      <c r="L1620" s="46"/>
      <c r="M1620"/>
      <c r="N1620"/>
      <c r="O1620"/>
      <c r="P1620"/>
      <c r="Q1620"/>
      <c r="R1620"/>
      <c r="S1620"/>
    </row>
    <row r="1621" spans="1:19" s="110" customFormat="1" ht="63" hidden="1">
      <c r="A1621" s="113">
        <v>46121</v>
      </c>
      <c r="B1621" s="17" t="s">
        <v>197</v>
      </c>
      <c r="C1621" s="114" t="s">
        <v>2317</v>
      </c>
      <c r="D1621" s="114" t="s">
        <v>2366</v>
      </c>
      <c r="E1621" s="17" t="s">
        <v>40</v>
      </c>
      <c r="F1621" s="17" t="s">
        <v>71</v>
      </c>
      <c r="G1621" s="114" t="s">
        <v>2730</v>
      </c>
      <c r="H1621" s="116"/>
      <c r="K1621" s="111"/>
      <c r="L1621" s="46"/>
      <c r="M1621"/>
      <c r="N1621"/>
      <c r="O1621"/>
      <c r="P1621"/>
      <c r="Q1621"/>
      <c r="R1621"/>
      <c r="S1621"/>
    </row>
    <row r="1622" spans="1:19" s="110" customFormat="1" ht="47.25" hidden="1">
      <c r="A1622" s="113">
        <v>46121</v>
      </c>
      <c r="B1622" s="17" t="s">
        <v>197</v>
      </c>
      <c r="C1622" s="114" t="s">
        <v>2317</v>
      </c>
      <c r="D1622" s="114" t="s">
        <v>2731</v>
      </c>
      <c r="E1622" s="17" t="s">
        <v>40</v>
      </c>
      <c r="F1622" s="17" t="s">
        <v>71</v>
      </c>
      <c r="G1622" s="114" t="s">
        <v>2732</v>
      </c>
      <c r="H1622" s="116"/>
      <c r="K1622" s="111"/>
      <c r="L1622" s="46"/>
      <c r="M1622"/>
      <c r="N1622"/>
      <c r="O1622"/>
      <c r="P1622"/>
      <c r="Q1622"/>
      <c r="R1622"/>
      <c r="S1622"/>
    </row>
    <row r="1623" spans="1:19" s="110" customFormat="1" ht="31.5" hidden="1">
      <c r="A1623" s="113">
        <v>46122</v>
      </c>
      <c r="B1623" s="17" t="s">
        <v>75</v>
      </c>
      <c r="C1623" s="114" t="s">
        <v>2733</v>
      </c>
      <c r="D1623" s="114" t="s">
        <v>127</v>
      </c>
      <c r="E1623" s="17" t="s">
        <v>41</v>
      </c>
      <c r="F1623" s="17" t="s">
        <v>64</v>
      </c>
      <c r="G1623" s="114" t="s">
        <v>2734</v>
      </c>
      <c r="H1623" s="116"/>
      <c r="K1623" s="111"/>
      <c r="L1623" s="46"/>
      <c r="M1623"/>
      <c r="N1623"/>
      <c r="O1623"/>
      <c r="P1623"/>
      <c r="Q1623"/>
      <c r="R1623"/>
      <c r="S1623"/>
    </row>
    <row r="1624" spans="1:19" s="110" customFormat="1" hidden="1">
      <c r="A1624" s="113">
        <v>46122</v>
      </c>
      <c r="B1624" s="17" t="s">
        <v>75</v>
      </c>
      <c r="C1624" s="114" t="s">
        <v>1026</v>
      </c>
      <c r="D1624" s="114" t="s">
        <v>1029</v>
      </c>
      <c r="E1624" s="17" t="s">
        <v>41</v>
      </c>
      <c r="F1624" s="17" t="s">
        <v>77</v>
      </c>
      <c r="G1624" s="114" t="s">
        <v>1385</v>
      </c>
      <c r="H1624" s="116"/>
      <c r="K1624" s="111"/>
      <c r="L1624" s="46"/>
      <c r="M1624"/>
      <c r="N1624"/>
      <c r="O1624"/>
      <c r="P1624"/>
      <c r="Q1624"/>
      <c r="R1624"/>
      <c r="S1624"/>
    </row>
    <row r="1625" spans="1:19" s="110" customFormat="1" ht="63" hidden="1">
      <c r="A1625" s="113">
        <v>46122</v>
      </c>
      <c r="B1625" s="17" t="s">
        <v>75</v>
      </c>
      <c r="C1625" s="114" t="s">
        <v>2194</v>
      </c>
      <c r="D1625" s="114" t="s">
        <v>2735</v>
      </c>
      <c r="E1625" s="17" t="s">
        <v>41</v>
      </c>
      <c r="F1625" s="17" t="s">
        <v>77</v>
      </c>
      <c r="G1625" s="114" t="s">
        <v>2736</v>
      </c>
      <c r="H1625" s="116"/>
      <c r="K1625" s="111"/>
      <c r="L1625" s="46"/>
      <c r="M1625"/>
      <c r="N1625"/>
      <c r="O1625"/>
      <c r="P1625"/>
      <c r="Q1625"/>
      <c r="R1625"/>
      <c r="S1625"/>
    </row>
    <row r="1626" spans="1:19" s="110" customFormat="1" hidden="1">
      <c r="A1626" s="113">
        <v>46122</v>
      </c>
      <c r="B1626" s="17" t="s">
        <v>75</v>
      </c>
      <c r="C1626" s="114" t="s">
        <v>2194</v>
      </c>
      <c r="D1626" s="114" t="s">
        <v>2737</v>
      </c>
      <c r="E1626" s="17" t="s">
        <v>41</v>
      </c>
      <c r="F1626" s="17" t="s">
        <v>77</v>
      </c>
      <c r="G1626" s="114" t="s">
        <v>1385</v>
      </c>
      <c r="H1626" s="116"/>
      <c r="K1626" s="111"/>
      <c r="L1626" s="46"/>
      <c r="M1626"/>
      <c r="N1626"/>
      <c r="O1626"/>
      <c r="P1626"/>
      <c r="Q1626"/>
      <c r="R1626"/>
      <c r="S1626"/>
    </row>
    <row r="1627" spans="1:19" s="110" customFormat="1" ht="63" hidden="1">
      <c r="A1627" s="113">
        <v>46122</v>
      </c>
      <c r="B1627" s="17" t="s">
        <v>75</v>
      </c>
      <c r="C1627" s="114" t="s">
        <v>1253</v>
      </c>
      <c r="D1627" s="114" t="s">
        <v>2738</v>
      </c>
      <c r="E1627" s="17" t="s">
        <v>41</v>
      </c>
      <c r="F1627" s="17" t="s">
        <v>64</v>
      </c>
      <c r="G1627" s="114" t="s">
        <v>2739</v>
      </c>
      <c r="H1627" s="116"/>
      <c r="K1627" s="111"/>
      <c r="L1627" s="46"/>
      <c r="M1627"/>
      <c r="N1627"/>
      <c r="O1627"/>
      <c r="P1627"/>
      <c r="Q1627"/>
      <c r="R1627"/>
      <c r="S1627"/>
    </row>
    <row r="1628" spans="1:19" s="110" customFormat="1" hidden="1">
      <c r="A1628" s="113">
        <v>46122</v>
      </c>
      <c r="B1628" s="17" t="s">
        <v>197</v>
      </c>
      <c r="C1628" s="114" t="s">
        <v>407</v>
      </c>
      <c r="D1628" s="114" t="s">
        <v>423</v>
      </c>
      <c r="E1628" s="17" t="s">
        <v>41</v>
      </c>
      <c r="F1628" s="17" t="s">
        <v>71</v>
      </c>
      <c r="G1628" s="114" t="s">
        <v>2740</v>
      </c>
      <c r="H1628" s="116"/>
      <c r="K1628" s="111"/>
      <c r="L1628" s="46"/>
      <c r="M1628"/>
      <c r="N1628"/>
      <c r="O1628"/>
      <c r="P1628"/>
      <c r="Q1628"/>
      <c r="R1628"/>
      <c r="S1628"/>
    </row>
    <row r="1629" spans="1:19" s="110" customFormat="1" hidden="1">
      <c r="A1629" s="113">
        <v>46122</v>
      </c>
      <c r="B1629" s="17" t="s">
        <v>75</v>
      </c>
      <c r="C1629" s="114" t="s">
        <v>2741</v>
      </c>
      <c r="D1629" s="114" t="s">
        <v>2703</v>
      </c>
      <c r="E1629" s="17" t="s">
        <v>41</v>
      </c>
      <c r="F1629" s="17" t="s">
        <v>77</v>
      </c>
      <c r="G1629" s="114" t="s">
        <v>1385</v>
      </c>
      <c r="H1629" s="116"/>
      <c r="K1629" s="111"/>
      <c r="L1629" s="46"/>
      <c r="M1629"/>
      <c r="N1629"/>
      <c r="O1629"/>
      <c r="P1629"/>
      <c r="Q1629"/>
      <c r="R1629"/>
      <c r="S1629"/>
    </row>
    <row r="1630" spans="1:19" s="110" customFormat="1" hidden="1">
      <c r="A1630" s="113">
        <v>46122</v>
      </c>
      <c r="B1630" s="17" t="s">
        <v>75</v>
      </c>
      <c r="C1630" s="114" t="s">
        <v>2742</v>
      </c>
      <c r="D1630" s="114" t="s">
        <v>2701</v>
      </c>
      <c r="E1630" s="17" t="s">
        <v>41</v>
      </c>
      <c r="F1630" s="17" t="s">
        <v>77</v>
      </c>
      <c r="G1630" s="114" t="s">
        <v>1385</v>
      </c>
      <c r="H1630" s="116"/>
      <c r="K1630" s="111"/>
      <c r="L1630" s="46"/>
      <c r="M1630"/>
      <c r="N1630"/>
      <c r="O1630"/>
      <c r="P1630"/>
      <c r="Q1630"/>
      <c r="R1630"/>
      <c r="S1630"/>
    </row>
    <row r="1631" spans="1:19" s="110" customFormat="1" hidden="1">
      <c r="A1631" s="113">
        <v>46122</v>
      </c>
      <c r="B1631" s="17" t="s">
        <v>75</v>
      </c>
      <c r="C1631" s="114" t="s">
        <v>1955</v>
      </c>
      <c r="D1631" s="114" t="s">
        <v>2743</v>
      </c>
      <c r="E1631" s="17" t="s">
        <v>41</v>
      </c>
      <c r="F1631" s="17" t="s">
        <v>77</v>
      </c>
      <c r="G1631" s="114" t="s">
        <v>2744</v>
      </c>
      <c r="H1631" s="116"/>
      <c r="K1631" s="111"/>
      <c r="L1631" s="46"/>
      <c r="M1631"/>
      <c r="N1631"/>
      <c r="O1631"/>
      <c r="P1631"/>
      <c r="Q1631"/>
      <c r="R1631"/>
      <c r="S1631"/>
    </row>
    <row r="1632" spans="1:19" s="110" customFormat="1" hidden="1">
      <c r="A1632" s="113">
        <v>46122</v>
      </c>
      <c r="B1632" s="17" t="s">
        <v>75</v>
      </c>
      <c r="C1632" s="114" t="s">
        <v>1955</v>
      </c>
      <c r="D1632" s="114" t="s">
        <v>2745</v>
      </c>
      <c r="E1632" s="17" t="s">
        <v>41</v>
      </c>
      <c r="F1632" s="17" t="s">
        <v>77</v>
      </c>
      <c r="G1632" s="114" t="s">
        <v>1542</v>
      </c>
      <c r="H1632" s="116"/>
      <c r="K1632" s="111"/>
      <c r="L1632" s="46"/>
      <c r="M1632"/>
      <c r="N1632"/>
      <c r="O1632"/>
      <c r="P1632"/>
      <c r="Q1632"/>
      <c r="R1632"/>
      <c r="S1632"/>
    </row>
    <row r="1633" spans="1:19" s="110" customFormat="1" hidden="1">
      <c r="A1633" s="113">
        <v>46122</v>
      </c>
      <c r="B1633" s="17" t="s">
        <v>75</v>
      </c>
      <c r="C1633" s="114" t="s">
        <v>2437</v>
      </c>
      <c r="D1633" s="114" t="s">
        <v>2746</v>
      </c>
      <c r="E1633" s="17" t="s">
        <v>41</v>
      </c>
      <c r="F1633" s="17" t="s">
        <v>77</v>
      </c>
      <c r="G1633" s="114" t="s">
        <v>2747</v>
      </c>
      <c r="H1633" s="116"/>
      <c r="K1633" s="111"/>
      <c r="L1633" s="46"/>
      <c r="M1633"/>
      <c r="N1633"/>
      <c r="O1633"/>
      <c r="P1633"/>
      <c r="Q1633"/>
      <c r="R1633"/>
      <c r="S1633"/>
    </row>
    <row r="1634" spans="1:19" s="110" customFormat="1" hidden="1">
      <c r="A1634" s="113"/>
      <c r="B1634" s="17"/>
      <c r="C1634" s="114"/>
      <c r="D1634" s="114"/>
      <c r="E1634" s="17"/>
      <c r="F1634" s="17"/>
      <c r="G1634" s="114"/>
      <c r="H1634" s="116"/>
      <c r="K1634" s="111"/>
      <c r="L1634" s="46"/>
      <c r="M1634"/>
      <c r="N1634"/>
      <c r="O1634"/>
      <c r="P1634"/>
      <c r="Q1634"/>
      <c r="R1634"/>
      <c r="S1634"/>
    </row>
    <row r="1635" spans="1:19" s="110" customFormat="1" hidden="1">
      <c r="A1635" s="113"/>
      <c r="B1635" s="17"/>
      <c r="C1635" s="114"/>
      <c r="D1635" s="114"/>
      <c r="E1635" s="17"/>
      <c r="F1635" s="17"/>
      <c r="G1635" s="114"/>
      <c r="H1635" s="116"/>
      <c r="K1635" s="111"/>
      <c r="L1635" s="46"/>
      <c r="M1635"/>
      <c r="N1635"/>
      <c r="O1635"/>
      <c r="P1635"/>
      <c r="Q1635"/>
      <c r="R1635"/>
      <c r="S1635"/>
    </row>
    <row r="1636" spans="1:19" s="110" customFormat="1" hidden="1">
      <c r="A1636" s="113"/>
      <c r="B1636" s="17"/>
      <c r="C1636" s="114"/>
      <c r="D1636" s="114"/>
      <c r="E1636" s="17"/>
      <c r="F1636" s="17"/>
      <c r="G1636" s="114"/>
      <c r="H1636" s="116"/>
      <c r="K1636" s="111"/>
      <c r="L1636" s="46"/>
      <c r="M1636"/>
      <c r="N1636"/>
      <c r="O1636"/>
      <c r="P1636"/>
      <c r="Q1636"/>
      <c r="R1636"/>
      <c r="S1636"/>
    </row>
    <row r="1637" spans="1:19" s="110" customFormat="1" hidden="1">
      <c r="A1637" s="113"/>
      <c r="B1637" s="17"/>
      <c r="C1637" s="114"/>
      <c r="D1637" s="114"/>
      <c r="E1637" s="17"/>
      <c r="F1637" s="17"/>
      <c r="G1637" s="114"/>
      <c r="H1637" s="116"/>
      <c r="K1637" s="111"/>
      <c r="L1637" s="46"/>
      <c r="M1637"/>
      <c r="N1637"/>
      <c r="O1637"/>
      <c r="P1637"/>
      <c r="Q1637"/>
      <c r="R1637"/>
      <c r="S1637"/>
    </row>
    <row r="1638" spans="1:19" s="110" customFormat="1" hidden="1">
      <c r="A1638" s="113"/>
      <c r="B1638" s="17"/>
      <c r="C1638" s="114"/>
      <c r="D1638" s="114"/>
      <c r="E1638" s="17"/>
      <c r="F1638" s="17"/>
      <c r="G1638" s="114"/>
      <c r="H1638" s="116"/>
      <c r="K1638" s="111"/>
      <c r="L1638" s="46"/>
      <c r="M1638"/>
      <c r="N1638"/>
      <c r="O1638"/>
      <c r="P1638"/>
      <c r="Q1638"/>
      <c r="R1638"/>
      <c r="S1638"/>
    </row>
    <row r="1639" spans="1:19" hidden="1">
      <c r="A1639" s="113"/>
      <c r="B1639" s="17"/>
      <c r="C1639" s="114"/>
      <c r="D1639" s="114"/>
      <c r="E1639" s="17"/>
      <c r="F1639" s="17"/>
      <c r="G1639" s="114"/>
      <c r="H1639" s="17"/>
      <c r="K1639" s="14"/>
      <c r="L1639" s="46"/>
    </row>
    <row r="1640" spans="1:19" hidden="1"/>
    <row r="1641" spans="1:19" hidden="1">
      <c r="A1641" s="3" t="s">
        <v>70</v>
      </c>
      <c r="B1641" s="4" t="s">
        <v>72</v>
      </c>
      <c r="C1641" s="4" t="s">
        <v>16</v>
      </c>
      <c r="D1641" s="34" t="s">
        <v>155</v>
      </c>
      <c r="E1641" s="9" t="s">
        <v>156</v>
      </c>
      <c r="F1641" s="10" t="s">
        <v>157</v>
      </c>
    </row>
    <row r="1642" spans="1:19" hidden="1">
      <c r="A1642" s="135" t="s">
        <v>63</v>
      </c>
      <c r="B1642" s="99" t="s">
        <v>68</v>
      </c>
      <c r="C1642" s="99">
        <v>5</v>
      </c>
      <c r="D1642" s="99">
        <f>C1642</f>
        <v>5</v>
      </c>
      <c r="E1642" s="138">
        <f>D1642+D1644+D1646</f>
        <v>7</v>
      </c>
      <c r="F1642" s="141">
        <f>E1642/12</f>
        <v>0.58333333333333337</v>
      </c>
    </row>
    <row r="1643" spans="1:19" hidden="1">
      <c r="A1643" s="136"/>
      <c r="B1643" s="144" t="s">
        <v>65</v>
      </c>
      <c r="C1643" s="144">
        <v>6</v>
      </c>
      <c r="D1643" s="35" t="s">
        <v>158</v>
      </c>
      <c r="E1643" s="139"/>
      <c r="F1643" s="142"/>
    </row>
    <row r="1644" spans="1:19" hidden="1">
      <c r="A1644" s="136"/>
      <c r="B1644" s="145"/>
      <c r="C1644" s="145"/>
      <c r="D1644" s="16">
        <f>C1643/3</f>
        <v>2</v>
      </c>
      <c r="E1644" s="139"/>
      <c r="F1644" s="142"/>
    </row>
    <row r="1645" spans="1:19" hidden="1">
      <c r="A1645" s="136"/>
      <c r="B1645" s="144" t="s">
        <v>69</v>
      </c>
      <c r="C1645" s="144">
        <v>19</v>
      </c>
      <c r="D1645" s="35" t="s">
        <v>159</v>
      </c>
      <c r="E1645" s="139"/>
      <c r="F1645" s="142"/>
    </row>
    <row r="1646" spans="1:19" hidden="1">
      <c r="A1646" s="137"/>
      <c r="B1646" s="145"/>
      <c r="C1646" s="145"/>
      <c r="D1646" s="16">
        <v>0</v>
      </c>
      <c r="E1646" s="140"/>
      <c r="F1646" s="143"/>
    </row>
    <row r="1647" spans="1:19" hidden="1">
      <c r="A1647" s="36" t="s">
        <v>70</v>
      </c>
      <c r="B1647" s="37" t="s">
        <v>72</v>
      </c>
      <c r="C1647" s="37" t="s">
        <v>16</v>
      </c>
      <c r="D1647" s="146" t="s">
        <v>160</v>
      </c>
      <c r="E1647" s="147"/>
      <c r="F1647" s="148"/>
    </row>
    <row r="1648" spans="1:19" hidden="1">
      <c r="A1648" s="149" t="s">
        <v>62</v>
      </c>
      <c r="B1648" s="16" t="s">
        <v>68</v>
      </c>
      <c r="C1648" s="16">
        <v>5</v>
      </c>
      <c r="D1648" s="151">
        <f>C1648/9</f>
        <v>0.55555555555555558</v>
      </c>
      <c r="E1648" s="152"/>
      <c r="F1648" s="153"/>
    </row>
    <row r="1649" spans="1:14" ht="16.5" hidden="1" thickBot="1">
      <c r="A1649" s="150"/>
      <c r="B1649" s="20" t="s">
        <v>69</v>
      </c>
      <c r="C1649" s="20">
        <v>1</v>
      </c>
      <c r="D1649" s="154"/>
      <c r="E1649" s="155"/>
      <c r="F1649" s="156"/>
    </row>
    <row r="1650" spans="1:14" hidden="1"/>
    <row r="1651" spans="1:14" hidden="1">
      <c r="A1651" t="s">
        <v>2748</v>
      </c>
    </row>
    <row r="1652" spans="1:14" hidden="1">
      <c r="A1652" s="37" t="s">
        <v>58</v>
      </c>
      <c r="B1652" s="37" t="s">
        <v>67</v>
      </c>
      <c r="C1652" s="37" t="s">
        <v>3</v>
      </c>
      <c r="D1652" s="37" t="s">
        <v>57</v>
      </c>
      <c r="E1652" s="37" t="s">
        <v>59</v>
      </c>
      <c r="F1652" s="37" t="s">
        <v>61</v>
      </c>
      <c r="G1652" s="37" t="s">
        <v>60</v>
      </c>
      <c r="H1652" s="37" t="s">
        <v>66</v>
      </c>
      <c r="K1652" s="14"/>
      <c r="L1652" s="14"/>
      <c r="M1652" s="32"/>
      <c r="N1652" s="14"/>
    </row>
    <row r="1653" spans="1:14" ht="126" hidden="1">
      <c r="A1653" s="113">
        <v>46125</v>
      </c>
      <c r="B1653" s="17" t="s">
        <v>91</v>
      </c>
      <c r="C1653" s="114" t="s">
        <v>2725</v>
      </c>
      <c r="D1653" s="114" t="s">
        <v>2749</v>
      </c>
      <c r="E1653" s="17" t="s">
        <v>40</v>
      </c>
      <c r="F1653" s="17" t="s">
        <v>71</v>
      </c>
      <c r="G1653" s="114" t="s">
        <v>2750</v>
      </c>
      <c r="H1653" s="17"/>
      <c r="K1653" s="14"/>
      <c r="L1653" s="14"/>
      <c r="M1653" s="14"/>
      <c r="N1653" s="14"/>
    </row>
    <row r="1654" spans="1:14" ht="126" hidden="1">
      <c r="A1654" s="113">
        <v>46125</v>
      </c>
      <c r="B1654" s="17" t="s">
        <v>91</v>
      </c>
      <c r="C1654" s="114" t="s">
        <v>2751</v>
      </c>
      <c r="D1654" s="114" t="s">
        <v>2752</v>
      </c>
      <c r="E1654" s="17" t="s">
        <v>40</v>
      </c>
      <c r="F1654" s="17" t="s">
        <v>71</v>
      </c>
      <c r="G1654" s="114" t="s">
        <v>2753</v>
      </c>
      <c r="H1654" s="17"/>
      <c r="K1654" s="14"/>
      <c r="L1654" s="32"/>
      <c r="M1654" s="14"/>
      <c r="N1654" s="14"/>
    </row>
    <row r="1655" spans="1:14" ht="31.5" hidden="1">
      <c r="A1655" s="113">
        <v>46126</v>
      </c>
      <c r="B1655" s="17" t="s">
        <v>91</v>
      </c>
      <c r="C1655" s="114" t="s">
        <v>2194</v>
      </c>
      <c r="D1655" s="114" t="s">
        <v>2735</v>
      </c>
      <c r="E1655" s="17" t="s">
        <v>41</v>
      </c>
      <c r="F1655" s="17" t="s">
        <v>77</v>
      </c>
      <c r="G1655" s="114" t="s">
        <v>2754</v>
      </c>
      <c r="H1655" s="17"/>
      <c r="K1655" s="14"/>
      <c r="L1655" s="32"/>
      <c r="M1655" s="14"/>
      <c r="N1655" s="14"/>
    </row>
    <row r="1656" spans="1:14" ht="63" hidden="1">
      <c r="A1656" s="113">
        <v>46126</v>
      </c>
      <c r="B1656" s="17" t="s">
        <v>91</v>
      </c>
      <c r="C1656" s="114" t="s">
        <v>2194</v>
      </c>
      <c r="D1656" s="114" t="s">
        <v>2737</v>
      </c>
      <c r="E1656" s="17" t="s">
        <v>41</v>
      </c>
      <c r="F1656" s="17" t="s">
        <v>77</v>
      </c>
      <c r="G1656" s="114" t="s">
        <v>2755</v>
      </c>
      <c r="H1656" s="17"/>
      <c r="K1656" s="14"/>
      <c r="L1656" s="32"/>
      <c r="M1656" s="14"/>
      <c r="N1656" s="14"/>
    </row>
    <row r="1657" spans="1:14" hidden="1">
      <c r="A1657" s="113">
        <v>46126</v>
      </c>
      <c r="B1657" s="17" t="s">
        <v>91</v>
      </c>
      <c r="C1657" s="114" t="s">
        <v>234</v>
      </c>
      <c r="D1657" s="114" t="s">
        <v>2756</v>
      </c>
      <c r="E1657" s="17" t="s">
        <v>41</v>
      </c>
      <c r="F1657" s="17" t="s">
        <v>77</v>
      </c>
      <c r="G1657" s="114" t="s">
        <v>129</v>
      </c>
      <c r="H1657" s="17"/>
      <c r="K1657" s="14"/>
      <c r="L1657" s="32"/>
      <c r="M1657" s="14"/>
      <c r="N1657" s="14"/>
    </row>
    <row r="1658" spans="1:14" hidden="1">
      <c r="A1658" s="113">
        <v>46126</v>
      </c>
      <c r="B1658" s="17" t="s">
        <v>75</v>
      </c>
      <c r="C1658" s="114" t="s">
        <v>42</v>
      </c>
      <c r="D1658" s="114" t="s">
        <v>2525</v>
      </c>
      <c r="E1658" s="17" t="s">
        <v>41</v>
      </c>
      <c r="F1658" s="17" t="s">
        <v>77</v>
      </c>
      <c r="G1658" s="114" t="s">
        <v>2757</v>
      </c>
      <c r="H1658" s="17"/>
      <c r="K1658" s="14"/>
      <c r="L1658" s="32"/>
      <c r="M1658" s="14"/>
      <c r="N1658" s="14"/>
    </row>
    <row r="1659" spans="1:14" hidden="1">
      <c r="A1659" s="113">
        <v>46126</v>
      </c>
      <c r="B1659" s="17" t="s">
        <v>75</v>
      </c>
      <c r="C1659" s="114" t="s">
        <v>56</v>
      </c>
      <c r="D1659" s="114" t="s">
        <v>2378</v>
      </c>
      <c r="E1659" s="17" t="s">
        <v>41</v>
      </c>
      <c r="F1659" s="17" t="s">
        <v>77</v>
      </c>
      <c r="G1659" s="114" t="s">
        <v>129</v>
      </c>
      <c r="H1659" s="17"/>
      <c r="K1659" s="14"/>
      <c r="L1659" s="32"/>
      <c r="M1659" s="14"/>
      <c r="N1659" s="14"/>
    </row>
    <row r="1660" spans="1:14" ht="31.5" hidden="1">
      <c r="A1660" s="113">
        <v>46126</v>
      </c>
      <c r="B1660" s="17" t="s">
        <v>75</v>
      </c>
      <c r="C1660" s="114" t="s">
        <v>2314</v>
      </c>
      <c r="D1660" s="114" t="s">
        <v>2386</v>
      </c>
      <c r="E1660" s="17" t="s">
        <v>41</v>
      </c>
      <c r="F1660" s="17" t="s">
        <v>71</v>
      </c>
      <c r="G1660" s="114" t="s">
        <v>2758</v>
      </c>
      <c r="H1660" s="17"/>
      <c r="K1660" s="14"/>
      <c r="L1660" s="32"/>
      <c r="M1660" s="14"/>
      <c r="N1660" s="14"/>
    </row>
    <row r="1661" spans="1:14" hidden="1">
      <c r="A1661" s="113">
        <v>46126</v>
      </c>
      <c r="B1661" s="17" t="s">
        <v>91</v>
      </c>
      <c r="C1661" s="114" t="s">
        <v>2700</v>
      </c>
      <c r="D1661" s="114" t="s">
        <v>2759</v>
      </c>
      <c r="E1661" s="17" t="s">
        <v>41</v>
      </c>
      <c r="F1661" s="17" t="s">
        <v>77</v>
      </c>
      <c r="G1661" s="114" t="s">
        <v>129</v>
      </c>
      <c r="H1661" s="17"/>
      <c r="K1661" s="14"/>
      <c r="L1661" s="32"/>
      <c r="M1661" s="14"/>
      <c r="N1661" s="32"/>
    </row>
    <row r="1662" spans="1:14" hidden="1">
      <c r="A1662" s="113">
        <v>46126</v>
      </c>
      <c r="B1662" s="17" t="s">
        <v>91</v>
      </c>
      <c r="C1662" s="114" t="s">
        <v>95</v>
      </c>
      <c r="D1662" s="114" t="s">
        <v>2760</v>
      </c>
      <c r="E1662" s="17" t="s">
        <v>41</v>
      </c>
      <c r="F1662" s="17" t="s">
        <v>77</v>
      </c>
      <c r="G1662" s="114" t="s">
        <v>129</v>
      </c>
      <c r="H1662" s="17"/>
      <c r="K1662" s="14"/>
      <c r="L1662" s="32"/>
      <c r="M1662" s="14"/>
      <c r="N1662" s="32"/>
    </row>
    <row r="1663" spans="1:14" hidden="1">
      <c r="A1663" s="113">
        <v>46126</v>
      </c>
      <c r="B1663" s="17" t="s">
        <v>91</v>
      </c>
      <c r="C1663" s="114" t="s">
        <v>2761</v>
      </c>
      <c r="D1663" s="114" t="s">
        <v>206</v>
      </c>
      <c r="E1663" s="17" t="s">
        <v>41</v>
      </c>
      <c r="F1663" s="17" t="s">
        <v>77</v>
      </c>
      <c r="G1663" s="114" t="s">
        <v>2762</v>
      </c>
      <c r="H1663" s="17"/>
      <c r="K1663" s="14"/>
      <c r="L1663" s="32"/>
      <c r="M1663" s="14"/>
      <c r="N1663" s="32"/>
    </row>
    <row r="1664" spans="1:14" hidden="1">
      <c r="A1664" s="113">
        <v>46126</v>
      </c>
      <c r="B1664" s="17" t="s">
        <v>91</v>
      </c>
      <c r="C1664" s="114" t="s">
        <v>2184</v>
      </c>
      <c r="D1664" s="114" t="s">
        <v>2763</v>
      </c>
      <c r="E1664" s="17" t="s">
        <v>41</v>
      </c>
      <c r="F1664" s="17" t="s">
        <v>77</v>
      </c>
      <c r="G1664" s="114" t="s">
        <v>129</v>
      </c>
      <c r="H1664" s="17"/>
      <c r="K1664" s="14"/>
      <c r="L1664" s="32"/>
      <c r="M1664" s="14"/>
      <c r="N1664" s="32"/>
    </row>
    <row r="1665" spans="1:19" hidden="1">
      <c r="A1665" s="113">
        <v>46126</v>
      </c>
      <c r="B1665" s="17" t="s">
        <v>91</v>
      </c>
      <c r="C1665" s="114" t="s">
        <v>2184</v>
      </c>
      <c r="D1665" s="114" t="s">
        <v>2764</v>
      </c>
      <c r="E1665" s="17" t="s">
        <v>41</v>
      </c>
      <c r="F1665" s="17" t="s">
        <v>77</v>
      </c>
      <c r="G1665" s="114" t="s">
        <v>2765</v>
      </c>
      <c r="H1665" s="17"/>
      <c r="K1665" s="14"/>
      <c r="L1665" s="32"/>
      <c r="M1665" s="14"/>
      <c r="N1665" s="32"/>
    </row>
    <row r="1666" spans="1:19" s="110" customFormat="1" ht="31.5" hidden="1">
      <c r="A1666" s="113">
        <v>46126</v>
      </c>
      <c r="B1666" s="17" t="s">
        <v>75</v>
      </c>
      <c r="C1666" s="114" t="s">
        <v>1960</v>
      </c>
      <c r="D1666" s="114" t="s">
        <v>2052</v>
      </c>
      <c r="E1666" s="17" t="s">
        <v>41</v>
      </c>
      <c r="F1666" s="17" t="s">
        <v>77</v>
      </c>
      <c r="G1666" s="114" t="s">
        <v>2766</v>
      </c>
      <c r="H1666" s="116"/>
      <c r="K1666" s="111"/>
      <c r="L1666" s="46"/>
      <c r="M1666"/>
      <c r="N1666"/>
      <c r="O1666"/>
      <c r="P1666"/>
      <c r="Q1666"/>
      <c r="R1666"/>
      <c r="S1666"/>
    </row>
    <row r="1667" spans="1:19" s="110" customFormat="1" ht="31.5" hidden="1">
      <c r="A1667" s="113">
        <v>46126</v>
      </c>
      <c r="B1667" s="17" t="s">
        <v>75</v>
      </c>
      <c r="C1667" s="114" t="s">
        <v>827</v>
      </c>
      <c r="D1667" s="114" t="s">
        <v>2767</v>
      </c>
      <c r="E1667" s="17" t="s">
        <v>41</v>
      </c>
      <c r="F1667" s="17" t="s">
        <v>77</v>
      </c>
      <c r="G1667" s="114" t="s">
        <v>2768</v>
      </c>
      <c r="H1667" s="116"/>
      <c r="K1667" s="111"/>
      <c r="L1667" s="46"/>
      <c r="M1667"/>
      <c r="N1667"/>
      <c r="O1667"/>
      <c r="P1667"/>
      <c r="Q1667"/>
      <c r="R1667"/>
      <c r="S1667"/>
    </row>
    <row r="1668" spans="1:19" ht="31.5" hidden="1">
      <c r="A1668" s="113">
        <v>46126</v>
      </c>
      <c r="B1668" s="17" t="s">
        <v>75</v>
      </c>
      <c r="C1668" s="114" t="s">
        <v>349</v>
      </c>
      <c r="D1668" s="114" t="s">
        <v>2481</v>
      </c>
      <c r="E1668" s="17" t="s">
        <v>41</v>
      </c>
      <c r="F1668" s="17" t="s">
        <v>77</v>
      </c>
      <c r="G1668" s="114" t="s">
        <v>2769</v>
      </c>
      <c r="H1668" s="17"/>
      <c r="K1668" s="14"/>
      <c r="L1668" s="14"/>
      <c r="M1668" s="14"/>
      <c r="N1668" s="14"/>
    </row>
    <row r="1669" spans="1:19" ht="31.5" hidden="1">
      <c r="A1669" s="113">
        <v>46127</v>
      </c>
      <c r="B1669" s="17" t="s">
        <v>197</v>
      </c>
      <c r="C1669" s="114" t="s">
        <v>1261</v>
      </c>
      <c r="D1669" s="114" t="s">
        <v>2770</v>
      </c>
      <c r="E1669" s="17" t="s">
        <v>41</v>
      </c>
      <c r="F1669" s="17" t="s">
        <v>71</v>
      </c>
      <c r="G1669" s="114" t="s">
        <v>2771</v>
      </c>
      <c r="H1669" s="17"/>
      <c r="K1669" s="14"/>
      <c r="L1669" s="32"/>
      <c r="M1669" s="14"/>
      <c r="N1669" s="14"/>
    </row>
    <row r="1670" spans="1:19" s="110" customFormat="1" ht="31.5" hidden="1">
      <c r="A1670" s="113">
        <v>46127</v>
      </c>
      <c r="B1670" s="17" t="s">
        <v>91</v>
      </c>
      <c r="C1670" s="114" t="s">
        <v>2184</v>
      </c>
      <c r="D1670" s="114" t="s">
        <v>2763</v>
      </c>
      <c r="E1670" s="17" t="s">
        <v>41</v>
      </c>
      <c r="F1670" s="17" t="s">
        <v>77</v>
      </c>
      <c r="G1670" s="114" t="s">
        <v>2772</v>
      </c>
      <c r="H1670" s="116"/>
      <c r="K1670" s="111"/>
      <c r="L1670" s="46"/>
      <c r="M1670"/>
      <c r="N1670"/>
      <c r="O1670"/>
      <c r="P1670"/>
      <c r="Q1670"/>
      <c r="R1670"/>
      <c r="S1670"/>
    </row>
    <row r="1671" spans="1:19" s="110" customFormat="1" ht="126" hidden="1">
      <c r="A1671" s="113">
        <v>46127</v>
      </c>
      <c r="B1671" s="17" t="s">
        <v>75</v>
      </c>
      <c r="C1671" s="114" t="s">
        <v>2733</v>
      </c>
      <c r="D1671" s="114" t="s">
        <v>127</v>
      </c>
      <c r="E1671" s="17" t="s">
        <v>41</v>
      </c>
      <c r="F1671" s="17" t="s">
        <v>71</v>
      </c>
      <c r="G1671" s="114" t="s">
        <v>2773</v>
      </c>
      <c r="H1671" s="116"/>
      <c r="K1671" s="111"/>
      <c r="L1671" s="46"/>
      <c r="M1671"/>
      <c r="N1671"/>
      <c r="O1671"/>
      <c r="P1671"/>
      <c r="Q1671"/>
      <c r="R1671"/>
      <c r="S1671"/>
    </row>
    <row r="1672" spans="1:19" s="110" customFormat="1" hidden="1">
      <c r="A1672" s="113">
        <v>46127</v>
      </c>
      <c r="B1672" s="17" t="s">
        <v>91</v>
      </c>
      <c r="C1672" s="114" t="s">
        <v>2774</v>
      </c>
      <c r="D1672" s="114" t="s">
        <v>2775</v>
      </c>
      <c r="E1672" s="17" t="s">
        <v>41</v>
      </c>
      <c r="F1672" s="17" t="s">
        <v>77</v>
      </c>
      <c r="G1672" s="114" t="s">
        <v>1385</v>
      </c>
      <c r="H1672" s="116"/>
      <c r="K1672" s="111"/>
      <c r="L1672" s="46"/>
      <c r="M1672"/>
      <c r="N1672"/>
      <c r="O1672"/>
      <c r="P1672"/>
      <c r="Q1672"/>
      <c r="R1672"/>
      <c r="S1672"/>
    </row>
    <row r="1673" spans="1:19" s="110" customFormat="1" ht="78.75" hidden="1">
      <c r="A1673" s="113">
        <v>46127</v>
      </c>
      <c r="B1673" s="17" t="s">
        <v>75</v>
      </c>
      <c r="C1673" s="114" t="s">
        <v>2210</v>
      </c>
      <c r="D1673" s="114" t="s">
        <v>2030</v>
      </c>
      <c r="E1673" s="17" t="s">
        <v>41</v>
      </c>
      <c r="F1673" s="17" t="s">
        <v>77</v>
      </c>
      <c r="G1673" s="114" t="s">
        <v>2776</v>
      </c>
      <c r="H1673" s="116"/>
      <c r="K1673" s="111"/>
      <c r="L1673" s="46"/>
      <c r="M1673"/>
      <c r="N1673"/>
      <c r="O1673"/>
      <c r="P1673"/>
      <c r="Q1673"/>
      <c r="R1673"/>
      <c r="S1673"/>
    </row>
    <row r="1674" spans="1:19" s="110" customFormat="1" ht="31.5" hidden="1">
      <c r="A1674" s="113">
        <v>46127</v>
      </c>
      <c r="B1674" s="17" t="s">
        <v>91</v>
      </c>
      <c r="C1674" s="114" t="s">
        <v>820</v>
      </c>
      <c r="D1674" s="114" t="s">
        <v>1544</v>
      </c>
      <c r="E1674" s="17" t="s">
        <v>41</v>
      </c>
      <c r="F1674" s="17" t="s">
        <v>77</v>
      </c>
      <c r="G1674" s="114" t="s">
        <v>2777</v>
      </c>
      <c r="H1674" s="116"/>
      <c r="K1674" s="111"/>
      <c r="L1674" s="46"/>
      <c r="M1674"/>
      <c r="N1674"/>
      <c r="O1674"/>
      <c r="P1674"/>
      <c r="Q1674"/>
      <c r="R1674"/>
      <c r="S1674"/>
    </row>
    <row r="1675" spans="1:19" s="110" customFormat="1" hidden="1">
      <c r="A1675" s="113">
        <v>46127</v>
      </c>
      <c r="B1675" s="17" t="s">
        <v>91</v>
      </c>
      <c r="C1675" s="114" t="s">
        <v>2778</v>
      </c>
      <c r="D1675" s="114" t="s">
        <v>2779</v>
      </c>
      <c r="E1675" s="17" t="s">
        <v>41</v>
      </c>
      <c r="F1675" s="17" t="s">
        <v>77</v>
      </c>
      <c r="G1675" s="114" t="s">
        <v>1385</v>
      </c>
      <c r="H1675" s="116"/>
      <c r="K1675" s="111"/>
      <c r="L1675" s="46"/>
      <c r="M1675"/>
      <c r="N1675"/>
      <c r="O1675"/>
      <c r="P1675"/>
      <c r="Q1675"/>
      <c r="R1675"/>
      <c r="S1675"/>
    </row>
    <row r="1676" spans="1:19" s="110" customFormat="1" hidden="1">
      <c r="A1676" s="113">
        <v>46127</v>
      </c>
      <c r="B1676" s="17" t="s">
        <v>75</v>
      </c>
      <c r="C1676" s="114" t="s">
        <v>2626</v>
      </c>
      <c r="D1676" s="114" t="s">
        <v>2627</v>
      </c>
      <c r="E1676" s="17" t="s">
        <v>41</v>
      </c>
      <c r="F1676" s="17" t="s">
        <v>64</v>
      </c>
      <c r="G1676" s="114" t="s">
        <v>2780</v>
      </c>
      <c r="H1676" s="116"/>
      <c r="K1676" s="111"/>
      <c r="L1676" s="46"/>
      <c r="M1676"/>
      <c r="N1676"/>
      <c r="O1676"/>
      <c r="P1676"/>
      <c r="Q1676"/>
      <c r="R1676"/>
      <c r="S1676"/>
    </row>
    <row r="1677" spans="1:19" s="110" customFormat="1" hidden="1">
      <c r="A1677" s="113">
        <v>46127</v>
      </c>
      <c r="B1677" s="17" t="s">
        <v>91</v>
      </c>
      <c r="C1677" s="114" t="s">
        <v>2781</v>
      </c>
      <c r="D1677" s="114" t="s">
        <v>2782</v>
      </c>
      <c r="E1677" s="17" t="s">
        <v>41</v>
      </c>
      <c r="F1677" s="17" t="s">
        <v>77</v>
      </c>
      <c r="G1677" s="114" t="s">
        <v>1385</v>
      </c>
      <c r="H1677" s="116"/>
      <c r="K1677" s="111"/>
      <c r="L1677" s="46"/>
      <c r="M1677"/>
      <c r="N1677"/>
      <c r="O1677"/>
      <c r="P1677"/>
      <c r="Q1677"/>
      <c r="R1677"/>
      <c r="S1677"/>
    </row>
    <row r="1678" spans="1:19" s="110" customFormat="1" hidden="1">
      <c r="A1678" s="113">
        <v>46127</v>
      </c>
      <c r="B1678" s="17" t="s">
        <v>91</v>
      </c>
      <c r="C1678" s="114" t="s">
        <v>2069</v>
      </c>
      <c r="D1678" s="114" t="s">
        <v>206</v>
      </c>
      <c r="E1678" s="17" t="s">
        <v>41</v>
      </c>
      <c r="F1678" s="17" t="s">
        <v>77</v>
      </c>
      <c r="G1678" s="114" t="s">
        <v>1385</v>
      </c>
      <c r="H1678" s="116"/>
      <c r="K1678" s="111"/>
      <c r="L1678" s="46"/>
      <c r="M1678"/>
      <c r="N1678"/>
      <c r="O1678"/>
      <c r="P1678"/>
      <c r="Q1678"/>
      <c r="R1678"/>
      <c r="S1678"/>
    </row>
    <row r="1679" spans="1:19" s="110" customFormat="1" ht="31.5" hidden="1">
      <c r="A1679" s="113">
        <v>46127</v>
      </c>
      <c r="B1679" s="17" t="s">
        <v>75</v>
      </c>
      <c r="C1679" s="114" t="s">
        <v>25</v>
      </c>
      <c r="D1679" s="114" t="s">
        <v>164</v>
      </c>
      <c r="E1679" s="17" t="s">
        <v>41</v>
      </c>
      <c r="F1679" s="17" t="s">
        <v>77</v>
      </c>
      <c r="G1679" s="114" t="s">
        <v>2783</v>
      </c>
      <c r="H1679" s="116"/>
      <c r="K1679" s="111"/>
      <c r="L1679" s="46"/>
      <c r="M1679"/>
      <c r="N1679"/>
      <c r="O1679"/>
      <c r="P1679"/>
      <c r="Q1679"/>
      <c r="R1679"/>
      <c r="S1679"/>
    </row>
    <row r="1680" spans="1:19" s="110" customFormat="1" hidden="1">
      <c r="A1680" s="113">
        <v>46127</v>
      </c>
      <c r="B1680" s="17" t="s">
        <v>91</v>
      </c>
      <c r="C1680" s="114" t="s">
        <v>2761</v>
      </c>
      <c r="D1680" s="114" t="s">
        <v>206</v>
      </c>
      <c r="E1680" s="17" t="s">
        <v>41</v>
      </c>
      <c r="F1680" s="17" t="s">
        <v>77</v>
      </c>
      <c r="G1680" s="114" t="s">
        <v>2762</v>
      </c>
      <c r="H1680" s="116"/>
      <c r="K1680" s="111"/>
      <c r="L1680" s="46"/>
      <c r="M1680"/>
      <c r="N1680"/>
      <c r="O1680"/>
      <c r="P1680"/>
      <c r="Q1680"/>
      <c r="R1680"/>
      <c r="S1680"/>
    </row>
    <row r="1681" spans="1:19" s="110" customFormat="1" ht="63" hidden="1">
      <c r="A1681" s="113">
        <v>46127</v>
      </c>
      <c r="B1681" s="17" t="s">
        <v>91</v>
      </c>
      <c r="C1681" s="114" t="s">
        <v>1878</v>
      </c>
      <c r="D1681" s="114" t="s">
        <v>2784</v>
      </c>
      <c r="E1681" s="17" t="s">
        <v>41</v>
      </c>
      <c r="F1681" s="17" t="s">
        <v>77</v>
      </c>
      <c r="G1681" s="114" t="s">
        <v>2785</v>
      </c>
      <c r="H1681" s="116"/>
      <c r="K1681" s="111"/>
      <c r="L1681" s="46"/>
      <c r="M1681"/>
      <c r="N1681"/>
      <c r="O1681"/>
      <c r="P1681"/>
      <c r="Q1681"/>
      <c r="R1681"/>
      <c r="S1681"/>
    </row>
    <row r="1682" spans="1:19" s="110" customFormat="1" ht="110.25" hidden="1">
      <c r="A1682" s="113">
        <v>46127</v>
      </c>
      <c r="B1682" s="17" t="s">
        <v>75</v>
      </c>
      <c r="C1682" s="114" t="s">
        <v>349</v>
      </c>
      <c r="D1682" s="114" t="s">
        <v>2481</v>
      </c>
      <c r="E1682" s="17" t="s">
        <v>41</v>
      </c>
      <c r="F1682" s="17" t="s">
        <v>71</v>
      </c>
      <c r="G1682" s="114" t="s">
        <v>2786</v>
      </c>
      <c r="H1682" s="116"/>
      <c r="K1682" s="111"/>
      <c r="L1682" s="46"/>
      <c r="M1682"/>
      <c r="N1682"/>
      <c r="O1682"/>
      <c r="P1682"/>
      <c r="Q1682"/>
      <c r="R1682"/>
      <c r="S1682"/>
    </row>
    <row r="1683" spans="1:19" s="110" customFormat="1" ht="63" hidden="1">
      <c r="A1683" s="113">
        <v>46128</v>
      </c>
      <c r="B1683" s="17" t="s">
        <v>91</v>
      </c>
      <c r="C1683" s="114" t="s">
        <v>95</v>
      </c>
      <c r="D1683" s="114" t="s">
        <v>2787</v>
      </c>
      <c r="E1683" s="17" t="s">
        <v>41</v>
      </c>
      <c r="F1683" s="17" t="s">
        <v>71</v>
      </c>
      <c r="G1683" s="114" t="s">
        <v>2788</v>
      </c>
      <c r="H1683" s="116"/>
      <c r="K1683" s="111"/>
      <c r="L1683" s="46"/>
      <c r="M1683"/>
      <c r="N1683"/>
      <c r="O1683"/>
      <c r="P1683"/>
      <c r="Q1683"/>
      <c r="R1683"/>
      <c r="S1683"/>
    </row>
    <row r="1684" spans="1:19" s="110" customFormat="1" ht="47.25" hidden="1">
      <c r="A1684" s="113">
        <v>46128</v>
      </c>
      <c r="B1684" s="17" t="s">
        <v>197</v>
      </c>
      <c r="C1684" s="114" t="s">
        <v>517</v>
      </c>
      <c r="D1684" s="114" t="s">
        <v>2443</v>
      </c>
      <c r="E1684" s="17" t="s">
        <v>41</v>
      </c>
      <c r="F1684" s="17" t="s">
        <v>71</v>
      </c>
      <c r="G1684" s="114" t="s">
        <v>2789</v>
      </c>
      <c r="H1684" s="116"/>
      <c r="K1684" s="111"/>
      <c r="L1684" s="46"/>
      <c r="M1684"/>
      <c r="N1684"/>
      <c r="O1684"/>
      <c r="P1684"/>
      <c r="Q1684"/>
      <c r="R1684"/>
      <c r="S1684"/>
    </row>
    <row r="1685" spans="1:19" s="110" customFormat="1" hidden="1">
      <c r="A1685" s="113">
        <v>46128</v>
      </c>
      <c r="B1685" s="17" t="s">
        <v>76</v>
      </c>
      <c r="C1685" s="114" t="s">
        <v>1338</v>
      </c>
      <c r="D1685" s="114" t="s">
        <v>2330</v>
      </c>
      <c r="E1685" s="17" t="s">
        <v>41</v>
      </c>
      <c r="F1685" s="17" t="s">
        <v>77</v>
      </c>
      <c r="G1685" s="114" t="s">
        <v>1385</v>
      </c>
      <c r="H1685" s="116"/>
      <c r="K1685" s="111"/>
      <c r="L1685" s="46"/>
      <c r="M1685"/>
      <c r="N1685"/>
      <c r="O1685"/>
      <c r="P1685"/>
      <c r="Q1685"/>
      <c r="R1685"/>
      <c r="S1685"/>
    </row>
    <row r="1686" spans="1:19" s="110" customFormat="1" ht="78.75" hidden="1">
      <c r="A1686" s="113">
        <v>46128</v>
      </c>
      <c r="B1686" s="17" t="s">
        <v>76</v>
      </c>
      <c r="C1686" s="114" t="s">
        <v>1338</v>
      </c>
      <c r="D1686" s="114" t="s">
        <v>1389</v>
      </c>
      <c r="E1686" s="17" t="s">
        <v>41</v>
      </c>
      <c r="F1686" s="17" t="s">
        <v>71</v>
      </c>
      <c r="G1686" s="114" t="s">
        <v>2790</v>
      </c>
      <c r="H1686" s="116"/>
      <c r="K1686" s="111"/>
      <c r="L1686" s="46"/>
      <c r="M1686"/>
      <c r="N1686"/>
      <c r="O1686"/>
      <c r="P1686"/>
      <c r="Q1686"/>
      <c r="R1686"/>
      <c r="S1686"/>
    </row>
    <row r="1687" spans="1:19" s="110" customFormat="1" ht="31.5" hidden="1">
      <c r="A1687" s="113">
        <v>46128</v>
      </c>
      <c r="B1687" s="17" t="s">
        <v>91</v>
      </c>
      <c r="C1687" s="114" t="s">
        <v>2791</v>
      </c>
      <c r="D1687" s="114" t="s">
        <v>2792</v>
      </c>
      <c r="E1687" s="17" t="s">
        <v>41</v>
      </c>
      <c r="F1687" s="17" t="s">
        <v>64</v>
      </c>
      <c r="G1687" s="114" t="s">
        <v>2793</v>
      </c>
      <c r="H1687" s="116"/>
      <c r="K1687" s="111"/>
      <c r="L1687" s="46"/>
      <c r="M1687"/>
      <c r="N1687"/>
      <c r="O1687"/>
      <c r="P1687"/>
      <c r="Q1687"/>
      <c r="R1687"/>
      <c r="S1687"/>
    </row>
    <row r="1688" spans="1:19" s="110" customFormat="1" hidden="1">
      <c r="A1688" s="113">
        <v>46128</v>
      </c>
      <c r="B1688" s="17" t="s">
        <v>75</v>
      </c>
      <c r="C1688" s="114" t="s">
        <v>1774</v>
      </c>
      <c r="D1688" s="114" t="s">
        <v>1807</v>
      </c>
      <c r="E1688" s="17" t="s">
        <v>41</v>
      </c>
      <c r="F1688" s="17" t="s">
        <v>64</v>
      </c>
      <c r="G1688" s="114" t="s">
        <v>2794</v>
      </c>
      <c r="H1688" s="116"/>
      <c r="K1688" s="111"/>
      <c r="L1688" s="46"/>
      <c r="M1688"/>
      <c r="N1688"/>
      <c r="O1688"/>
      <c r="P1688"/>
      <c r="Q1688"/>
      <c r="R1688"/>
      <c r="S1688"/>
    </row>
    <row r="1689" spans="1:19" s="110" customFormat="1" hidden="1">
      <c r="A1689" s="113">
        <v>46128</v>
      </c>
      <c r="B1689" s="17" t="s">
        <v>91</v>
      </c>
      <c r="C1689" s="114" t="s">
        <v>2791</v>
      </c>
      <c r="D1689" s="114" t="s">
        <v>2795</v>
      </c>
      <c r="E1689" s="17" t="s">
        <v>41</v>
      </c>
      <c r="F1689" s="17" t="s">
        <v>64</v>
      </c>
      <c r="G1689" s="114" t="s">
        <v>2796</v>
      </c>
      <c r="H1689" s="116"/>
      <c r="K1689" s="111"/>
      <c r="L1689" s="46"/>
      <c r="M1689"/>
      <c r="N1689"/>
      <c r="O1689"/>
      <c r="P1689"/>
      <c r="Q1689"/>
      <c r="R1689"/>
      <c r="S1689"/>
    </row>
    <row r="1690" spans="1:19" s="110" customFormat="1" ht="236.25" hidden="1">
      <c r="A1690" s="113">
        <v>46129</v>
      </c>
      <c r="B1690" s="17" t="s">
        <v>75</v>
      </c>
      <c r="C1690" s="114" t="s">
        <v>759</v>
      </c>
      <c r="D1690" s="114" t="s">
        <v>2797</v>
      </c>
      <c r="E1690" s="17" t="s">
        <v>40</v>
      </c>
      <c r="F1690" s="17" t="s">
        <v>71</v>
      </c>
      <c r="G1690" s="114" t="s">
        <v>2798</v>
      </c>
      <c r="H1690" s="116"/>
      <c r="K1690" s="111"/>
      <c r="L1690" s="46"/>
      <c r="M1690"/>
      <c r="N1690"/>
      <c r="O1690"/>
      <c r="P1690"/>
      <c r="Q1690"/>
      <c r="R1690"/>
      <c r="S1690"/>
    </row>
    <row r="1691" spans="1:19" s="110" customFormat="1" ht="189" hidden="1">
      <c r="A1691" s="113">
        <v>46129</v>
      </c>
      <c r="B1691" s="17" t="s">
        <v>91</v>
      </c>
      <c r="C1691" s="114" t="s">
        <v>2791</v>
      </c>
      <c r="D1691" s="114" t="s">
        <v>2795</v>
      </c>
      <c r="E1691" s="17" t="s">
        <v>40</v>
      </c>
      <c r="F1691" s="17" t="s">
        <v>71</v>
      </c>
      <c r="G1691" s="114" t="s">
        <v>2799</v>
      </c>
      <c r="H1691" s="116"/>
      <c r="K1691" s="111"/>
      <c r="L1691" s="46"/>
      <c r="M1691"/>
      <c r="N1691"/>
      <c r="O1691"/>
      <c r="P1691"/>
      <c r="Q1691"/>
      <c r="R1691"/>
      <c r="S1691"/>
    </row>
    <row r="1692" spans="1:19" s="110" customFormat="1" ht="47.25" hidden="1">
      <c r="A1692" s="113">
        <v>46129</v>
      </c>
      <c r="B1692" s="17" t="s">
        <v>76</v>
      </c>
      <c r="C1692" s="114" t="s">
        <v>1589</v>
      </c>
      <c r="D1692" s="114" t="s">
        <v>1315</v>
      </c>
      <c r="E1692" s="17" t="s">
        <v>40</v>
      </c>
      <c r="F1692" s="17" t="s">
        <v>71</v>
      </c>
      <c r="G1692" s="114" t="s">
        <v>2800</v>
      </c>
      <c r="H1692" s="116"/>
      <c r="K1692" s="111"/>
      <c r="L1692" s="46"/>
      <c r="M1692"/>
      <c r="N1692"/>
      <c r="O1692"/>
      <c r="P1692"/>
      <c r="Q1692"/>
      <c r="R1692"/>
      <c r="S1692"/>
    </row>
    <row r="1693" spans="1:19" hidden="1">
      <c r="A1693" s="113"/>
      <c r="B1693" s="17"/>
      <c r="C1693" s="114"/>
      <c r="D1693" s="114"/>
      <c r="E1693" s="17"/>
      <c r="F1693" s="17"/>
      <c r="G1693" s="114"/>
      <c r="H1693" s="17"/>
      <c r="K1693" s="14"/>
      <c r="L1693" s="46"/>
    </row>
    <row r="1694" spans="1:19" hidden="1"/>
    <row r="1695" spans="1:19" hidden="1">
      <c r="A1695" s="3" t="s">
        <v>70</v>
      </c>
      <c r="B1695" s="4" t="s">
        <v>72</v>
      </c>
      <c r="C1695" s="4" t="s">
        <v>16</v>
      </c>
      <c r="D1695" s="34" t="s">
        <v>155</v>
      </c>
      <c r="E1695" s="9" t="s">
        <v>156</v>
      </c>
      <c r="F1695" s="10" t="s">
        <v>157</v>
      </c>
    </row>
    <row r="1696" spans="1:19" hidden="1">
      <c r="A1696" s="135" t="s">
        <v>63</v>
      </c>
      <c r="B1696" s="99" t="s">
        <v>68</v>
      </c>
      <c r="C1696" s="99">
        <v>7</v>
      </c>
      <c r="D1696" s="99">
        <f>C1696</f>
        <v>7</v>
      </c>
      <c r="E1696" s="138">
        <f>D1696+D1698+D1700</f>
        <v>8.3333333333333339</v>
      </c>
      <c r="F1696" s="141">
        <f>E1696/12</f>
        <v>0.69444444444444453</v>
      </c>
    </row>
    <row r="1697" spans="1:14" hidden="1">
      <c r="A1697" s="136"/>
      <c r="B1697" s="144" t="s">
        <v>65</v>
      </c>
      <c r="C1697" s="144">
        <v>4</v>
      </c>
      <c r="D1697" s="35" t="s">
        <v>158</v>
      </c>
      <c r="E1697" s="139"/>
      <c r="F1697" s="142"/>
    </row>
    <row r="1698" spans="1:14" hidden="1">
      <c r="A1698" s="136"/>
      <c r="B1698" s="145"/>
      <c r="C1698" s="145"/>
      <c r="D1698" s="16">
        <f>C1697/3</f>
        <v>1.3333333333333333</v>
      </c>
      <c r="E1698" s="139"/>
      <c r="F1698" s="142"/>
    </row>
    <row r="1699" spans="1:14" hidden="1">
      <c r="A1699" s="136"/>
      <c r="B1699" s="144" t="s">
        <v>69</v>
      </c>
      <c r="C1699" s="144">
        <v>24</v>
      </c>
      <c r="D1699" s="35" t="s">
        <v>159</v>
      </c>
      <c r="E1699" s="139"/>
      <c r="F1699" s="142"/>
    </row>
    <row r="1700" spans="1:14" hidden="1">
      <c r="A1700" s="137"/>
      <c r="B1700" s="145"/>
      <c r="C1700" s="145"/>
      <c r="D1700" s="16">
        <v>0</v>
      </c>
      <c r="E1700" s="140"/>
      <c r="F1700" s="143"/>
    </row>
    <row r="1701" spans="1:14" hidden="1">
      <c r="A1701" s="36" t="s">
        <v>70</v>
      </c>
      <c r="B1701" s="37" t="s">
        <v>72</v>
      </c>
      <c r="C1701" s="37" t="s">
        <v>16</v>
      </c>
      <c r="D1701" s="146" t="s">
        <v>160</v>
      </c>
      <c r="E1701" s="147"/>
      <c r="F1701" s="148"/>
    </row>
    <row r="1702" spans="1:14" hidden="1">
      <c r="A1702" s="149" t="s">
        <v>62</v>
      </c>
      <c r="B1702" s="16" t="s">
        <v>68</v>
      </c>
      <c r="C1702" s="16">
        <v>5</v>
      </c>
      <c r="D1702" s="151">
        <f>C1702/9</f>
        <v>0.55555555555555558</v>
      </c>
      <c r="E1702" s="152"/>
      <c r="F1702" s="153"/>
    </row>
    <row r="1703" spans="1:14" ht="16.5" hidden="1" thickBot="1">
      <c r="A1703" s="150"/>
      <c r="B1703" s="20" t="s">
        <v>69</v>
      </c>
      <c r="C1703" s="20">
        <v>0</v>
      </c>
      <c r="D1703" s="154"/>
      <c r="E1703" s="155"/>
      <c r="F1703" s="156"/>
    </row>
    <row r="1704" spans="1:14" hidden="1"/>
    <row r="1705" spans="1:14" hidden="1">
      <c r="A1705" t="s">
        <v>2801</v>
      </c>
    </row>
    <row r="1706" spans="1:14" hidden="1">
      <c r="A1706" s="37" t="s">
        <v>58</v>
      </c>
      <c r="B1706" s="37" t="s">
        <v>67</v>
      </c>
      <c r="C1706" s="37" t="s">
        <v>3</v>
      </c>
      <c r="D1706" s="37" t="s">
        <v>57</v>
      </c>
      <c r="E1706" s="37" t="s">
        <v>59</v>
      </c>
      <c r="F1706" s="37" t="s">
        <v>61</v>
      </c>
      <c r="G1706" s="37" t="s">
        <v>60</v>
      </c>
      <c r="H1706" s="37" t="s">
        <v>66</v>
      </c>
      <c r="K1706" s="14"/>
      <c r="L1706" s="14"/>
      <c r="M1706" s="32"/>
      <c r="N1706" s="14"/>
    </row>
    <row r="1707" spans="1:14" ht="173.25" hidden="1">
      <c r="A1707" s="113">
        <v>46139</v>
      </c>
      <c r="B1707" s="17" t="s">
        <v>76</v>
      </c>
      <c r="C1707" s="114" t="s">
        <v>2314</v>
      </c>
      <c r="D1707" s="114" t="s">
        <v>2386</v>
      </c>
      <c r="E1707" s="17" t="s">
        <v>41</v>
      </c>
      <c r="F1707" s="17" t="s">
        <v>71</v>
      </c>
      <c r="G1707" s="114" t="s">
        <v>2802</v>
      </c>
      <c r="H1707" s="17"/>
      <c r="K1707" s="14"/>
      <c r="L1707" s="32"/>
      <c r="M1707" s="14"/>
      <c r="N1707" s="14"/>
    </row>
    <row r="1708" spans="1:14" ht="31.5" hidden="1">
      <c r="A1708" s="113">
        <v>46139</v>
      </c>
      <c r="B1708" s="17" t="s">
        <v>197</v>
      </c>
      <c r="C1708" s="114" t="s">
        <v>1261</v>
      </c>
      <c r="D1708" s="114" t="s">
        <v>1493</v>
      </c>
      <c r="E1708" s="17" t="s">
        <v>41</v>
      </c>
      <c r="F1708" s="17" t="s">
        <v>71</v>
      </c>
      <c r="G1708" s="114" t="s">
        <v>2803</v>
      </c>
      <c r="H1708" s="17"/>
      <c r="K1708" s="14"/>
      <c r="L1708" s="32"/>
      <c r="M1708" s="14"/>
      <c r="N1708" s="14"/>
    </row>
    <row r="1709" spans="1:14" ht="63" hidden="1">
      <c r="A1709" s="113">
        <v>46139</v>
      </c>
      <c r="B1709" s="17" t="s">
        <v>75</v>
      </c>
      <c r="C1709" s="114" t="s">
        <v>2243</v>
      </c>
      <c r="D1709" s="114" t="s">
        <v>2334</v>
      </c>
      <c r="E1709" s="17" t="s">
        <v>41</v>
      </c>
      <c r="F1709" s="17" t="s">
        <v>71</v>
      </c>
      <c r="G1709" s="114" t="s">
        <v>2804</v>
      </c>
      <c r="H1709" s="17"/>
      <c r="K1709" s="14"/>
      <c r="L1709" s="32"/>
      <c r="M1709" s="14"/>
      <c r="N1709" s="14"/>
    </row>
    <row r="1710" spans="1:14" hidden="1">
      <c r="A1710" s="113">
        <v>46139</v>
      </c>
      <c r="B1710" s="17" t="s">
        <v>197</v>
      </c>
      <c r="C1710" s="114" t="s">
        <v>2690</v>
      </c>
      <c r="D1710" s="114" t="s">
        <v>2691</v>
      </c>
      <c r="E1710" s="17" t="s">
        <v>41</v>
      </c>
      <c r="F1710" s="17" t="s">
        <v>77</v>
      </c>
      <c r="G1710" s="114" t="s">
        <v>2805</v>
      </c>
      <c r="H1710" s="17"/>
      <c r="K1710" s="14"/>
      <c r="L1710" s="32"/>
      <c r="M1710" s="14"/>
      <c r="N1710" s="14"/>
    </row>
    <row r="1711" spans="1:14" ht="47.25" hidden="1">
      <c r="A1711" s="113">
        <v>46139</v>
      </c>
      <c r="B1711" s="17" t="s">
        <v>197</v>
      </c>
      <c r="C1711" s="114" t="s">
        <v>517</v>
      </c>
      <c r="D1711" s="114" t="s">
        <v>2806</v>
      </c>
      <c r="E1711" s="17" t="s">
        <v>41</v>
      </c>
      <c r="F1711" s="17" t="s">
        <v>71</v>
      </c>
      <c r="G1711" s="114" t="s">
        <v>2807</v>
      </c>
      <c r="H1711" s="17"/>
      <c r="K1711" s="14"/>
      <c r="L1711" s="32"/>
      <c r="M1711" s="14"/>
      <c r="N1711" s="14"/>
    </row>
    <row r="1712" spans="1:14" ht="47.25" hidden="1">
      <c r="A1712" s="113">
        <v>46139</v>
      </c>
      <c r="B1712" s="17" t="s">
        <v>197</v>
      </c>
      <c r="C1712" s="114" t="s">
        <v>1376</v>
      </c>
      <c r="D1712" s="114" t="s">
        <v>1502</v>
      </c>
      <c r="E1712" s="17" t="s">
        <v>41</v>
      </c>
      <c r="F1712" s="17" t="s">
        <v>71</v>
      </c>
      <c r="G1712" s="114" t="s">
        <v>2808</v>
      </c>
      <c r="H1712" s="17"/>
      <c r="K1712" s="14"/>
      <c r="L1712" s="32"/>
      <c r="M1712" s="14"/>
      <c r="N1712" s="32"/>
    </row>
    <row r="1713" spans="1:19" ht="141.75" hidden="1">
      <c r="A1713" s="113">
        <v>46139</v>
      </c>
      <c r="B1713" s="17" t="s">
        <v>91</v>
      </c>
      <c r="C1713" s="114" t="s">
        <v>2809</v>
      </c>
      <c r="D1713" s="114" t="s">
        <v>2810</v>
      </c>
      <c r="E1713" s="17" t="s">
        <v>41</v>
      </c>
      <c r="F1713" s="17" t="s">
        <v>71</v>
      </c>
      <c r="G1713" s="114" t="s">
        <v>2811</v>
      </c>
      <c r="H1713" s="17"/>
      <c r="K1713" s="14"/>
      <c r="L1713" s="32"/>
      <c r="M1713" s="14"/>
      <c r="N1713" s="32"/>
    </row>
    <row r="1714" spans="1:19" ht="63" hidden="1">
      <c r="A1714" s="113">
        <v>46140</v>
      </c>
      <c r="B1714" s="17" t="s">
        <v>76</v>
      </c>
      <c r="C1714" s="114" t="s">
        <v>1233</v>
      </c>
      <c r="D1714" s="114" t="s">
        <v>2812</v>
      </c>
      <c r="E1714" s="17" t="s">
        <v>41</v>
      </c>
      <c r="F1714" s="17" t="s">
        <v>77</v>
      </c>
      <c r="G1714" s="114" t="s">
        <v>2813</v>
      </c>
      <c r="H1714" s="17"/>
      <c r="K1714" s="14"/>
      <c r="L1714" s="32"/>
      <c r="M1714" s="14"/>
      <c r="N1714" s="32"/>
    </row>
    <row r="1715" spans="1:19" hidden="1">
      <c r="A1715" s="113">
        <v>46140</v>
      </c>
      <c r="B1715" s="17" t="s">
        <v>76</v>
      </c>
      <c r="C1715" s="114" t="s">
        <v>1233</v>
      </c>
      <c r="D1715" s="114" t="s">
        <v>2580</v>
      </c>
      <c r="E1715" s="17" t="s">
        <v>41</v>
      </c>
      <c r="F1715" s="17" t="s">
        <v>64</v>
      </c>
      <c r="G1715" s="114" t="s">
        <v>2814</v>
      </c>
      <c r="H1715" s="17"/>
      <c r="K1715" s="14"/>
      <c r="L1715" s="32"/>
      <c r="M1715" s="14"/>
      <c r="N1715" s="32"/>
    </row>
    <row r="1716" spans="1:19" s="110" customFormat="1" ht="94.5" hidden="1">
      <c r="A1716" s="113">
        <v>46140</v>
      </c>
      <c r="B1716" s="17" t="s">
        <v>75</v>
      </c>
      <c r="C1716" s="114" t="s">
        <v>2317</v>
      </c>
      <c r="D1716" s="114" t="s">
        <v>2366</v>
      </c>
      <c r="E1716" s="17" t="s">
        <v>41</v>
      </c>
      <c r="F1716" s="17" t="s">
        <v>64</v>
      </c>
      <c r="G1716" s="114" t="s">
        <v>2815</v>
      </c>
      <c r="H1716" s="116"/>
      <c r="K1716" s="111"/>
      <c r="L1716" s="46"/>
      <c r="M1716"/>
      <c r="N1716"/>
      <c r="O1716"/>
      <c r="P1716"/>
      <c r="Q1716"/>
      <c r="R1716"/>
      <c r="S1716"/>
    </row>
    <row r="1717" spans="1:19" s="110" customFormat="1" hidden="1">
      <c r="A1717" s="113">
        <v>46140</v>
      </c>
      <c r="B1717" s="17" t="s">
        <v>75</v>
      </c>
      <c r="C1717" s="114" t="s">
        <v>2317</v>
      </c>
      <c r="D1717" s="114" t="s">
        <v>2816</v>
      </c>
      <c r="E1717" s="17" t="s">
        <v>41</v>
      </c>
      <c r="F1717" s="17" t="s">
        <v>64</v>
      </c>
      <c r="G1717" s="114" t="s">
        <v>2817</v>
      </c>
      <c r="H1717" s="116"/>
      <c r="K1717" s="111"/>
      <c r="L1717" s="46"/>
      <c r="M1717"/>
      <c r="N1717"/>
      <c r="O1717"/>
      <c r="P1717"/>
      <c r="Q1717"/>
      <c r="R1717"/>
      <c r="S1717"/>
    </row>
    <row r="1718" spans="1:19" ht="78.75" hidden="1">
      <c r="A1718" s="113">
        <v>46140</v>
      </c>
      <c r="B1718" s="17" t="s">
        <v>75</v>
      </c>
      <c r="C1718" s="114" t="s">
        <v>2526</v>
      </c>
      <c r="D1718" s="114" t="s">
        <v>2527</v>
      </c>
      <c r="E1718" s="17" t="s">
        <v>41</v>
      </c>
      <c r="F1718" s="17" t="s">
        <v>77</v>
      </c>
      <c r="G1718" s="114" t="s">
        <v>2818</v>
      </c>
      <c r="H1718" s="17"/>
      <c r="L1718" s="14"/>
      <c r="M1718" s="14"/>
      <c r="N1718" s="14"/>
    </row>
    <row r="1719" spans="1:19" s="110" customFormat="1" hidden="1">
      <c r="A1719" s="113">
        <v>46140</v>
      </c>
      <c r="B1719" s="17" t="s">
        <v>91</v>
      </c>
      <c r="C1719" s="114" t="s">
        <v>1955</v>
      </c>
      <c r="D1719" s="114" t="s">
        <v>2819</v>
      </c>
      <c r="E1719" s="17" t="s">
        <v>41</v>
      </c>
      <c r="F1719" s="17" t="s">
        <v>77</v>
      </c>
      <c r="G1719" s="114" t="s">
        <v>1385</v>
      </c>
      <c r="H1719" s="116"/>
      <c r="K1719" s="14"/>
      <c r="L1719" s="46"/>
      <c r="M1719"/>
      <c r="N1719"/>
      <c r="O1719"/>
      <c r="P1719"/>
      <c r="Q1719"/>
      <c r="R1719"/>
      <c r="S1719"/>
    </row>
    <row r="1720" spans="1:19" s="110" customFormat="1" hidden="1">
      <c r="A1720" s="113">
        <v>46140</v>
      </c>
      <c r="B1720" s="17" t="s">
        <v>91</v>
      </c>
      <c r="C1720" s="114" t="s">
        <v>1955</v>
      </c>
      <c r="D1720" s="114" t="s">
        <v>2820</v>
      </c>
      <c r="E1720" s="17" t="s">
        <v>41</v>
      </c>
      <c r="F1720" s="17" t="s">
        <v>77</v>
      </c>
      <c r="G1720" s="114" t="s">
        <v>1385</v>
      </c>
      <c r="H1720" s="116"/>
      <c r="K1720" s="111"/>
      <c r="L1720" s="46"/>
      <c r="M1720"/>
      <c r="N1720"/>
      <c r="O1720"/>
      <c r="P1720"/>
      <c r="Q1720"/>
      <c r="R1720"/>
      <c r="S1720"/>
    </row>
    <row r="1721" spans="1:19" s="110" customFormat="1" hidden="1">
      <c r="A1721" s="113">
        <v>46140</v>
      </c>
      <c r="B1721" s="17" t="s">
        <v>91</v>
      </c>
      <c r="C1721" s="114" t="s">
        <v>1955</v>
      </c>
      <c r="D1721" s="114" t="s">
        <v>2821</v>
      </c>
      <c r="E1721" s="17" t="s">
        <v>41</v>
      </c>
      <c r="F1721" s="17" t="s">
        <v>77</v>
      </c>
      <c r="G1721" s="114" t="s">
        <v>1385</v>
      </c>
      <c r="H1721" s="116"/>
      <c r="K1721" s="111"/>
      <c r="L1721" s="46"/>
      <c r="M1721"/>
      <c r="N1721"/>
      <c r="O1721"/>
      <c r="P1721"/>
      <c r="Q1721"/>
      <c r="R1721"/>
      <c r="S1721"/>
    </row>
    <row r="1722" spans="1:19" s="110" customFormat="1" hidden="1">
      <c r="A1722" s="113">
        <v>46140</v>
      </c>
      <c r="B1722" s="17" t="s">
        <v>91</v>
      </c>
      <c r="C1722" s="114" t="s">
        <v>2822</v>
      </c>
      <c r="D1722" s="114" t="s">
        <v>206</v>
      </c>
      <c r="E1722" s="17" t="s">
        <v>41</v>
      </c>
      <c r="F1722" s="17" t="s">
        <v>77</v>
      </c>
      <c r="G1722" s="114" t="s">
        <v>1385</v>
      </c>
      <c r="H1722" s="116"/>
      <c r="K1722" s="111"/>
      <c r="L1722" s="46"/>
      <c r="M1722"/>
      <c r="N1722"/>
      <c r="O1722"/>
      <c r="P1722"/>
      <c r="Q1722"/>
      <c r="R1722"/>
      <c r="S1722"/>
    </row>
    <row r="1723" spans="1:19" s="110" customFormat="1" hidden="1">
      <c r="A1723" s="113">
        <v>46140</v>
      </c>
      <c r="B1723" s="17" t="s">
        <v>91</v>
      </c>
      <c r="C1723" s="114" t="s">
        <v>1955</v>
      </c>
      <c r="D1723" s="114" t="s">
        <v>2823</v>
      </c>
      <c r="E1723" s="17" t="s">
        <v>41</v>
      </c>
      <c r="F1723" s="17" t="s">
        <v>77</v>
      </c>
      <c r="G1723" s="114" t="s">
        <v>1385</v>
      </c>
      <c r="H1723" s="116"/>
      <c r="K1723" s="111"/>
      <c r="L1723" s="46"/>
      <c r="M1723"/>
      <c r="N1723"/>
      <c r="O1723"/>
      <c r="P1723"/>
      <c r="Q1723"/>
      <c r="R1723"/>
      <c r="S1723"/>
    </row>
    <row r="1724" spans="1:19" s="110" customFormat="1" ht="141.75" hidden="1">
      <c r="A1724" s="113">
        <v>46141</v>
      </c>
      <c r="B1724" s="17" t="s">
        <v>75</v>
      </c>
      <c r="C1724" s="114" t="s">
        <v>2243</v>
      </c>
      <c r="D1724" s="114" t="s">
        <v>2334</v>
      </c>
      <c r="E1724" s="17" t="s">
        <v>41</v>
      </c>
      <c r="F1724" s="17" t="s">
        <v>71</v>
      </c>
      <c r="G1724" s="114" t="s">
        <v>2824</v>
      </c>
      <c r="H1724" s="116"/>
      <c r="K1724" s="111"/>
      <c r="L1724" s="46"/>
      <c r="M1724"/>
      <c r="N1724"/>
      <c r="O1724"/>
      <c r="P1724"/>
      <c r="Q1724"/>
      <c r="R1724"/>
      <c r="S1724"/>
    </row>
    <row r="1725" spans="1:19" s="110" customFormat="1" ht="47.25" hidden="1">
      <c r="A1725" s="113">
        <v>46141</v>
      </c>
      <c r="B1725" s="17" t="s">
        <v>197</v>
      </c>
      <c r="C1725" s="114" t="s">
        <v>458</v>
      </c>
      <c r="D1725" s="114" t="s">
        <v>2564</v>
      </c>
      <c r="E1725" s="17" t="s">
        <v>41</v>
      </c>
      <c r="F1725" s="17" t="s">
        <v>77</v>
      </c>
      <c r="G1725" s="114" t="s">
        <v>2825</v>
      </c>
      <c r="H1725" s="116"/>
      <c r="K1725" s="111"/>
      <c r="L1725" s="46"/>
      <c r="M1725"/>
      <c r="N1725"/>
      <c r="O1725"/>
      <c r="P1725"/>
      <c r="Q1725"/>
      <c r="R1725"/>
      <c r="S1725"/>
    </row>
    <row r="1726" spans="1:19" s="110" customFormat="1" ht="126" hidden="1">
      <c r="A1726" s="113">
        <v>46141</v>
      </c>
      <c r="B1726" s="17" t="s">
        <v>75</v>
      </c>
      <c r="C1726" s="114" t="s">
        <v>1233</v>
      </c>
      <c r="D1726" s="114" t="s">
        <v>2826</v>
      </c>
      <c r="E1726" s="17" t="s">
        <v>40</v>
      </c>
      <c r="F1726" s="17" t="s">
        <v>71</v>
      </c>
      <c r="G1726" s="114" t="s">
        <v>2827</v>
      </c>
      <c r="H1726" s="116"/>
      <c r="K1726" s="111"/>
      <c r="L1726" s="46"/>
      <c r="M1726"/>
      <c r="N1726"/>
      <c r="O1726"/>
      <c r="P1726"/>
      <c r="Q1726"/>
      <c r="R1726"/>
      <c r="S1726"/>
    </row>
    <row r="1727" spans="1:19" s="110" customFormat="1" ht="141.75" hidden="1">
      <c r="A1727" s="113">
        <v>46141</v>
      </c>
      <c r="B1727" s="17" t="s">
        <v>75</v>
      </c>
      <c r="C1727" s="114" t="s">
        <v>2317</v>
      </c>
      <c r="D1727" s="114" t="s">
        <v>2828</v>
      </c>
      <c r="E1727" s="17" t="s">
        <v>40</v>
      </c>
      <c r="F1727" s="17" t="s">
        <v>71</v>
      </c>
      <c r="G1727" s="114" t="s">
        <v>2829</v>
      </c>
      <c r="H1727" s="116"/>
      <c r="K1727" s="111"/>
      <c r="L1727" s="46"/>
      <c r="M1727"/>
      <c r="N1727"/>
      <c r="O1727"/>
      <c r="P1727"/>
      <c r="Q1727"/>
      <c r="R1727"/>
      <c r="S1727"/>
    </row>
    <row r="1728" spans="1:19" s="110" customFormat="1" hidden="1">
      <c r="A1728" s="113">
        <v>46142</v>
      </c>
      <c r="B1728" s="17" t="s">
        <v>197</v>
      </c>
      <c r="C1728" s="114" t="s">
        <v>1442</v>
      </c>
      <c r="D1728" s="114" t="s">
        <v>2518</v>
      </c>
      <c r="E1728" s="17" t="s">
        <v>41</v>
      </c>
      <c r="F1728" s="17" t="s">
        <v>71</v>
      </c>
      <c r="G1728" s="114" t="s">
        <v>2830</v>
      </c>
      <c r="H1728" s="116"/>
      <c r="K1728" s="111"/>
      <c r="L1728" s="46"/>
      <c r="M1728"/>
      <c r="N1728"/>
      <c r="O1728"/>
      <c r="P1728"/>
      <c r="Q1728"/>
      <c r="R1728"/>
      <c r="S1728"/>
    </row>
    <row r="1729" spans="1:19" s="110" customFormat="1" ht="110.25" hidden="1">
      <c r="A1729" s="113">
        <v>46142</v>
      </c>
      <c r="B1729" s="17" t="s">
        <v>76</v>
      </c>
      <c r="C1729" s="114" t="s">
        <v>1233</v>
      </c>
      <c r="D1729" s="114" t="s">
        <v>2831</v>
      </c>
      <c r="E1729" s="17" t="s">
        <v>41</v>
      </c>
      <c r="F1729" s="17" t="s">
        <v>71</v>
      </c>
      <c r="G1729" s="114" t="s">
        <v>2832</v>
      </c>
      <c r="H1729" s="116"/>
      <c r="K1729" s="111"/>
      <c r="L1729" s="46"/>
      <c r="M1729"/>
      <c r="N1729"/>
      <c r="O1729"/>
      <c r="P1729"/>
      <c r="Q1729"/>
      <c r="R1729"/>
      <c r="S1729"/>
    </row>
    <row r="1730" spans="1:19" s="110" customFormat="1" ht="78.75" hidden="1">
      <c r="A1730" s="113">
        <v>46142</v>
      </c>
      <c r="B1730" s="17" t="s">
        <v>75</v>
      </c>
      <c r="C1730" s="114" t="s">
        <v>1314</v>
      </c>
      <c r="D1730" s="114" t="s">
        <v>1315</v>
      </c>
      <c r="E1730" s="17" t="s">
        <v>41</v>
      </c>
      <c r="F1730" s="17" t="s">
        <v>71</v>
      </c>
      <c r="G1730" s="114" t="s">
        <v>2833</v>
      </c>
      <c r="H1730" s="116"/>
      <c r="K1730" s="111"/>
      <c r="L1730" s="46"/>
      <c r="M1730"/>
      <c r="N1730"/>
      <c r="O1730"/>
      <c r="P1730"/>
      <c r="Q1730"/>
      <c r="R1730"/>
      <c r="S1730"/>
    </row>
    <row r="1731" spans="1:19" s="110" customFormat="1" hidden="1">
      <c r="A1731" s="113">
        <v>46142</v>
      </c>
      <c r="B1731" s="17" t="s">
        <v>75</v>
      </c>
      <c r="C1731" s="114" t="s">
        <v>25</v>
      </c>
      <c r="D1731" s="114" t="s">
        <v>2474</v>
      </c>
      <c r="E1731" s="17" t="s">
        <v>41</v>
      </c>
      <c r="F1731" s="17" t="s">
        <v>77</v>
      </c>
      <c r="G1731" s="114" t="s">
        <v>613</v>
      </c>
      <c r="H1731" s="116"/>
      <c r="K1731" s="111"/>
      <c r="L1731" s="46"/>
      <c r="M1731"/>
      <c r="N1731"/>
      <c r="O1731"/>
      <c r="P1731"/>
      <c r="Q1731"/>
      <c r="R1731"/>
      <c r="S1731"/>
    </row>
    <row r="1732" spans="1:19" s="110" customFormat="1" hidden="1">
      <c r="A1732" s="113">
        <v>46142</v>
      </c>
      <c r="B1732" s="17" t="s">
        <v>75</v>
      </c>
      <c r="C1732" s="114" t="s">
        <v>349</v>
      </c>
      <c r="D1732" s="114" t="s">
        <v>350</v>
      </c>
      <c r="E1732" s="17" t="s">
        <v>63</v>
      </c>
      <c r="F1732" s="17" t="s">
        <v>69</v>
      </c>
      <c r="G1732" s="114" t="s">
        <v>1385</v>
      </c>
      <c r="H1732" s="116"/>
      <c r="K1732" s="111"/>
      <c r="L1732" s="46"/>
      <c r="M1732"/>
      <c r="N1732"/>
      <c r="O1732"/>
      <c r="P1732"/>
      <c r="Q1732"/>
      <c r="R1732"/>
      <c r="S1732"/>
    </row>
    <row r="1733" spans="1:19" s="110" customFormat="1" ht="78.75" hidden="1">
      <c r="A1733" s="113">
        <v>46142</v>
      </c>
      <c r="B1733" s="17" t="s">
        <v>75</v>
      </c>
      <c r="C1733" s="114" t="s">
        <v>1960</v>
      </c>
      <c r="D1733" s="114" t="s">
        <v>2052</v>
      </c>
      <c r="E1733" s="17" t="s">
        <v>63</v>
      </c>
      <c r="F1733" s="17" t="s">
        <v>71</v>
      </c>
      <c r="G1733" s="114" t="s">
        <v>2834</v>
      </c>
      <c r="H1733" s="116"/>
      <c r="K1733" s="111"/>
      <c r="L1733" s="46"/>
      <c r="M1733"/>
      <c r="N1733"/>
      <c r="O1733"/>
      <c r="P1733"/>
      <c r="Q1733"/>
      <c r="R1733"/>
      <c r="S1733"/>
    </row>
    <row r="1734" spans="1:19" s="110" customFormat="1" hidden="1">
      <c r="A1734" s="113">
        <v>46142</v>
      </c>
      <c r="B1734" s="17" t="s">
        <v>75</v>
      </c>
      <c r="C1734" s="114" t="s">
        <v>349</v>
      </c>
      <c r="D1734" s="114" t="s">
        <v>350</v>
      </c>
      <c r="E1734" s="17" t="s">
        <v>63</v>
      </c>
      <c r="F1734" s="17" t="s">
        <v>71</v>
      </c>
      <c r="G1734" s="114" t="s">
        <v>2835</v>
      </c>
      <c r="H1734" s="116"/>
      <c r="K1734" s="111"/>
      <c r="L1734" s="46"/>
      <c r="M1734"/>
      <c r="N1734"/>
      <c r="O1734"/>
      <c r="P1734"/>
      <c r="Q1734"/>
      <c r="R1734"/>
      <c r="S1734"/>
    </row>
    <row r="1735" spans="1:19" s="110" customFormat="1" ht="47.25" hidden="1">
      <c r="A1735" s="113">
        <v>46142</v>
      </c>
      <c r="B1735" s="17" t="s">
        <v>75</v>
      </c>
      <c r="C1735" s="114" t="s">
        <v>42</v>
      </c>
      <c r="D1735" s="114" t="s">
        <v>2836</v>
      </c>
      <c r="E1735" s="17" t="s">
        <v>41</v>
      </c>
      <c r="F1735" s="17" t="s">
        <v>64</v>
      </c>
      <c r="G1735" s="114" t="s">
        <v>2837</v>
      </c>
      <c r="H1735" s="116"/>
      <c r="K1735" s="111"/>
      <c r="L1735" s="46"/>
      <c r="M1735"/>
      <c r="N1735"/>
      <c r="O1735"/>
      <c r="P1735"/>
      <c r="Q1735"/>
      <c r="R1735"/>
      <c r="S1735"/>
    </row>
    <row r="1736" spans="1:19" s="110" customFormat="1" ht="31.5" hidden="1">
      <c r="A1736" s="113">
        <v>46142</v>
      </c>
      <c r="B1736" s="17" t="s">
        <v>75</v>
      </c>
      <c r="C1736" s="114" t="s">
        <v>49</v>
      </c>
      <c r="D1736" s="114" t="s">
        <v>2838</v>
      </c>
      <c r="E1736" s="17" t="s">
        <v>41</v>
      </c>
      <c r="F1736" s="17" t="s">
        <v>77</v>
      </c>
      <c r="G1736" s="114" t="s">
        <v>2839</v>
      </c>
      <c r="H1736" s="116"/>
      <c r="K1736" s="111"/>
      <c r="L1736" s="46"/>
      <c r="M1736"/>
      <c r="N1736"/>
      <c r="O1736"/>
      <c r="P1736"/>
      <c r="Q1736"/>
      <c r="R1736"/>
      <c r="S1736"/>
    </row>
    <row r="1737" spans="1:19" s="110" customFormat="1" hidden="1">
      <c r="A1737" s="113">
        <v>46142</v>
      </c>
      <c r="B1737" s="17" t="s">
        <v>91</v>
      </c>
      <c r="C1737" s="114" t="s">
        <v>2840</v>
      </c>
      <c r="D1737" s="114" t="s">
        <v>206</v>
      </c>
      <c r="E1737" s="17" t="s">
        <v>41</v>
      </c>
      <c r="F1737" s="17" t="s">
        <v>77</v>
      </c>
      <c r="G1737" s="114" t="s">
        <v>1385</v>
      </c>
      <c r="H1737" s="116"/>
      <c r="K1737" s="111"/>
      <c r="L1737" s="46"/>
      <c r="M1737"/>
      <c r="N1737"/>
      <c r="O1737"/>
      <c r="P1737"/>
      <c r="Q1737"/>
      <c r="R1737"/>
      <c r="S1737"/>
    </row>
    <row r="1738" spans="1:19" s="110" customFormat="1" ht="31.5" hidden="1">
      <c r="A1738" s="113">
        <v>46142</v>
      </c>
      <c r="B1738" s="17" t="s">
        <v>76</v>
      </c>
      <c r="C1738" s="114" t="s">
        <v>1207</v>
      </c>
      <c r="D1738" s="114" t="s">
        <v>2841</v>
      </c>
      <c r="E1738" s="17" t="s">
        <v>41</v>
      </c>
      <c r="F1738" s="17" t="s">
        <v>71</v>
      </c>
      <c r="G1738" s="114" t="s">
        <v>2842</v>
      </c>
      <c r="H1738" s="116"/>
      <c r="K1738" s="111"/>
      <c r="L1738" s="46"/>
      <c r="M1738"/>
      <c r="N1738"/>
      <c r="O1738"/>
      <c r="P1738"/>
      <c r="Q1738"/>
      <c r="R1738"/>
      <c r="S1738"/>
    </row>
    <row r="1739" spans="1:19" s="110" customFormat="1" hidden="1">
      <c r="A1739" s="113"/>
      <c r="B1739" s="17"/>
      <c r="C1739" s="114"/>
      <c r="D1739" s="114"/>
      <c r="E1739" s="17"/>
      <c r="F1739" s="17"/>
      <c r="G1739" s="114"/>
      <c r="H1739" s="116"/>
      <c r="K1739" s="111"/>
      <c r="L1739" s="46"/>
      <c r="M1739"/>
      <c r="N1739"/>
      <c r="O1739"/>
      <c r="P1739"/>
      <c r="Q1739"/>
      <c r="R1739"/>
      <c r="S1739"/>
    </row>
    <row r="1740" spans="1:19" s="110" customFormat="1" hidden="1">
      <c r="A1740" s="113"/>
      <c r="B1740" s="17"/>
      <c r="C1740" s="114"/>
      <c r="D1740" s="114"/>
      <c r="E1740" s="17"/>
      <c r="F1740" s="17"/>
      <c r="G1740" s="114"/>
      <c r="H1740" s="116"/>
      <c r="K1740" s="111"/>
      <c r="L1740" s="46"/>
      <c r="M1740"/>
      <c r="N1740"/>
      <c r="O1740"/>
      <c r="P1740"/>
      <c r="Q1740"/>
      <c r="R1740"/>
      <c r="S1740"/>
    </row>
    <row r="1741" spans="1:19" s="110" customFormat="1" hidden="1">
      <c r="A1741" s="113"/>
      <c r="B1741" s="17"/>
      <c r="C1741" s="114"/>
      <c r="D1741" s="114"/>
      <c r="E1741" s="17"/>
      <c r="F1741" s="17"/>
      <c r="G1741" s="114"/>
      <c r="H1741" s="116"/>
      <c r="K1741" s="111"/>
      <c r="L1741" s="46"/>
      <c r="M1741"/>
      <c r="N1741"/>
      <c r="O1741"/>
      <c r="P1741"/>
      <c r="Q1741"/>
      <c r="R1741"/>
      <c r="S1741"/>
    </row>
    <row r="1742" spans="1:19" s="110" customFormat="1" hidden="1">
      <c r="A1742" s="113"/>
      <c r="B1742" s="17"/>
      <c r="C1742" s="114"/>
      <c r="D1742" s="114"/>
      <c r="E1742" s="17"/>
      <c r="F1742" s="17"/>
      <c r="G1742" s="114"/>
      <c r="H1742" s="116"/>
      <c r="K1742" s="111"/>
      <c r="L1742" s="46"/>
      <c r="M1742"/>
      <c r="N1742"/>
      <c r="O1742"/>
      <c r="P1742"/>
      <c r="Q1742"/>
      <c r="R1742"/>
      <c r="S1742"/>
    </row>
    <row r="1743" spans="1:19" hidden="1">
      <c r="A1743" s="113"/>
      <c r="B1743" s="17"/>
      <c r="C1743" s="114"/>
      <c r="D1743" s="114"/>
      <c r="E1743" s="17"/>
      <c r="F1743" s="17"/>
      <c r="G1743" s="114"/>
      <c r="H1743" s="17"/>
      <c r="K1743" s="14"/>
      <c r="L1743" s="46"/>
    </row>
    <row r="1744" spans="1:19" hidden="1"/>
    <row r="1745" spans="1:19" hidden="1">
      <c r="A1745" s="3" t="s">
        <v>70</v>
      </c>
      <c r="B1745" s="4" t="s">
        <v>72</v>
      </c>
      <c r="C1745" s="4" t="s">
        <v>16</v>
      </c>
      <c r="D1745" s="34" t="s">
        <v>155</v>
      </c>
      <c r="E1745" s="9" t="s">
        <v>156</v>
      </c>
      <c r="F1745" s="10" t="s">
        <v>157</v>
      </c>
    </row>
    <row r="1746" spans="1:19" hidden="1">
      <c r="A1746" s="135" t="s">
        <v>63</v>
      </c>
      <c r="B1746" s="99" t="s">
        <v>68</v>
      </c>
      <c r="C1746" s="99">
        <v>13</v>
      </c>
      <c r="D1746" s="99">
        <f>C1746</f>
        <v>13</v>
      </c>
      <c r="E1746" s="138">
        <f>D1746+D1748+D1750</f>
        <v>14.333333333333334</v>
      </c>
      <c r="F1746" s="141">
        <f>E1746/12</f>
        <v>1.1944444444444444</v>
      </c>
    </row>
    <row r="1747" spans="1:19" hidden="1">
      <c r="A1747" s="136"/>
      <c r="B1747" s="144" t="s">
        <v>65</v>
      </c>
      <c r="C1747" s="144">
        <v>4</v>
      </c>
      <c r="D1747" s="35" t="s">
        <v>158</v>
      </c>
      <c r="E1747" s="139"/>
      <c r="F1747" s="142"/>
    </row>
    <row r="1748" spans="1:19" hidden="1">
      <c r="A1748" s="136"/>
      <c r="B1748" s="145"/>
      <c r="C1748" s="145"/>
      <c r="D1748" s="16">
        <f>C1747/3</f>
        <v>1.3333333333333333</v>
      </c>
      <c r="E1748" s="139"/>
      <c r="F1748" s="142"/>
    </row>
    <row r="1749" spans="1:19" hidden="1">
      <c r="A1749" s="136"/>
      <c r="B1749" s="144" t="s">
        <v>69</v>
      </c>
      <c r="C1749" s="144">
        <v>13</v>
      </c>
      <c r="D1749" s="35" t="s">
        <v>159</v>
      </c>
      <c r="E1749" s="139"/>
      <c r="F1749" s="142"/>
    </row>
    <row r="1750" spans="1:19" hidden="1">
      <c r="A1750" s="137"/>
      <c r="B1750" s="145"/>
      <c r="C1750" s="145"/>
      <c r="D1750" s="16">
        <v>0</v>
      </c>
      <c r="E1750" s="140"/>
      <c r="F1750" s="143"/>
    </row>
    <row r="1751" spans="1:19" hidden="1">
      <c r="A1751" s="36" t="s">
        <v>70</v>
      </c>
      <c r="B1751" s="37" t="s">
        <v>72</v>
      </c>
      <c r="C1751" s="37" t="s">
        <v>16</v>
      </c>
      <c r="D1751" s="146" t="s">
        <v>160</v>
      </c>
      <c r="E1751" s="147"/>
      <c r="F1751" s="148"/>
    </row>
    <row r="1752" spans="1:19" hidden="1">
      <c r="A1752" s="149" t="s">
        <v>62</v>
      </c>
      <c r="B1752" s="16" t="s">
        <v>68</v>
      </c>
      <c r="C1752" s="16">
        <v>2</v>
      </c>
      <c r="D1752" s="151">
        <f>C1752/9</f>
        <v>0.22222222222222221</v>
      </c>
      <c r="E1752" s="152"/>
      <c r="F1752" s="153"/>
    </row>
    <row r="1753" spans="1:19" ht="16.5" hidden="1" thickBot="1">
      <c r="A1753" s="150"/>
      <c r="B1753" s="20" t="s">
        <v>69</v>
      </c>
      <c r="C1753" s="20">
        <v>0</v>
      </c>
      <c r="D1753" s="154"/>
      <c r="E1753" s="155"/>
      <c r="F1753" s="156"/>
    </row>
    <row r="1754" spans="1:19" hidden="1"/>
    <row r="1755" spans="1:19">
      <c r="A1755" t="s">
        <v>2974</v>
      </c>
    </row>
    <row r="1756" spans="1:19">
      <c r="A1756" s="37" t="s">
        <v>58</v>
      </c>
      <c r="B1756" s="37" t="s">
        <v>67</v>
      </c>
      <c r="C1756" s="37" t="s">
        <v>3</v>
      </c>
      <c r="D1756" s="37" t="s">
        <v>57</v>
      </c>
      <c r="E1756" s="37" t="s">
        <v>59</v>
      </c>
      <c r="F1756" s="37" t="s">
        <v>61</v>
      </c>
      <c r="G1756" s="37" t="s">
        <v>60</v>
      </c>
      <c r="H1756" s="37" t="s">
        <v>66</v>
      </c>
      <c r="K1756" s="14"/>
      <c r="L1756" s="14"/>
      <c r="M1756" s="32"/>
      <c r="N1756" s="14"/>
    </row>
    <row r="1757" spans="1:19">
      <c r="A1757" s="113">
        <v>46154</v>
      </c>
      <c r="B1757" s="17" t="s">
        <v>76</v>
      </c>
      <c r="C1757" s="114" t="s">
        <v>2452</v>
      </c>
      <c r="D1757" s="114" t="s">
        <v>2453</v>
      </c>
      <c r="E1757" s="17" t="s">
        <v>41</v>
      </c>
      <c r="F1757" s="17" t="s">
        <v>71</v>
      </c>
      <c r="G1757" s="114" t="s">
        <v>2858</v>
      </c>
      <c r="H1757" s="17"/>
      <c r="K1757" s="14"/>
      <c r="L1757" s="32"/>
      <c r="M1757" s="14"/>
      <c r="N1757" s="14"/>
    </row>
    <row r="1758" spans="1:19" s="110" customFormat="1" ht="31.5">
      <c r="A1758" s="113">
        <v>46154</v>
      </c>
      <c r="B1758" s="17" t="s">
        <v>76</v>
      </c>
      <c r="C1758" s="114" t="s">
        <v>2843</v>
      </c>
      <c r="D1758" s="114" t="s">
        <v>2844</v>
      </c>
      <c r="E1758" s="17" t="s">
        <v>41</v>
      </c>
      <c r="F1758" s="17" t="s">
        <v>64</v>
      </c>
      <c r="G1758" s="114" t="s">
        <v>2847</v>
      </c>
      <c r="H1758" s="116"/>
      <c r="K1758" s="111"/>
      <c r="L1758" s="46"/>
      <c r="M1758"/>
      <c r="N1758"/>
      <c r="O1758"/>
      <c r="P1758"/>
      <c r="Q1758"/>
      <c r="R1758"/>
      <c r="S1758"/>
    </row>
    <row r="1759" spans="1:19" s="110" customFormat="1" ht="31.5">
      <c r="A1759" s="113">
        <v>46154</v>
      </c>
      <c r="B1759" s="17" t="s">
        <v>75</v>
      </c>
      <c r="C1759" s="114" t="s">
        <v>2845</v>
      </c>
      <c r="D1759" s="114" t="s">
        <v>2846</v>
      </c>
      <c r="E1759" s="17" t="s">
        <v>41</v>
      </c>
      <c r="F1759" s="17" t="s">
        <v>64</v>
      </c>
      <c r="G1759" s="114" t="s">
        <v>2848</v>
      </c>
      <c r="H1759" s="116"/>
      <c r="K1759" s="111"/>
      <c r="L1759" s="46"/>
      <c r="M1759"/>
      <c r="N1759"/>
      <c r="O1759"/>
      <c r="P1759"/>
      <c r="Q1759"/>
      <c r="R1759"/>
      <c r="S1759"/>
    </row>
    <row r="1760" spans="1:19" s="110" customFormat="1" ht="47.25">
      <c r="A1760" s="113">
        <v>46154</v>
      </c>
      <c r="B1760" s="17" t="s">
        <v>76</v>
      </c>
      <c r="C1760" s="114" t="s">
        <v>2849</v>
      </c>
      <c r="D1760" s="114" t="s">
        <v>2854</v>
      </c>
      <c r="E1760" s="17" t="s">
        <v>41</v>
      </c>
      <c r="F1760" s="17" t="s">
        <v>64</v>
      </c>
      <c r="G1760" s="114" t="s">
        <v>2850</v>
      </c>
      <c r="H1760" s="116"/>
      <c r="K1760" s="111"/>
      <c r="L1760" s="46"/>
      <c r="M1760"/>
      <c r="N1760"/>
      <c r="O1760"/>
      <c r="P1760"/>
      <c r="Q1760"/>
      <c r="R1760"/>
      <c r="S1760"/>
    </row>
    <row r="1761" spans="1:19" s="110" customFormat="1" ht="31.5">
      <c r="A1761" s="113">
        <v>46156</v>
      </c>
      <c r="B1761" s="17" t="s">
        <v>76</v>
      </c>
      <c r="C1761" s="114" t="s">
        <v>2843</v>
      </c>
      <c r="D1761" s="114" t="s">
        <v>2853</v>
      </c>
      <c r="E1761" s="17" t="s">
        <v>40</v>
      </c>
      <c r="F1761" s="17" t="s">
        <v>77</v>
      </c>
      <c r="G1761" s="114" t="s">
        <v>2855</v>
      </c>
      <c r="H1761" s="116"/>
      <c r="K1761" s="111"/>
      <c r="L1761" s="46"/>
      <c r="M1761"/>
      <c r="N1761"/>
      <c r="O1761"/>
      <c r="P1761"/>
      <c r="Q1761"/>
      <c r="R1761"/>
      <c r="S1761"/>
    </row>
    <row r="1762" spans="1:19" s="110" customFormat="1" ht="31.5">
      <c r="A1762" s="113">
        <v>46156</v>
      </c>
      <c r="B1762" s="17" t="s">
        <v>76</v>
      </c>
      <c r="C1762" s="114" t="s">
        <v>2851</v>
      </c>
      <c r="D1762" s="114" t="s">
        <v>2852</v>
      </c>
      <c r="E1762" s="17" t="s">
        <v>40</v>
      </c>
      <c r="F1762" s="17" t="s">
        <v>71</v>
      </c>
      <c r="G1762" s="114" t="s">
        <v>2856</v>
      </c>
      <c r="H1762" s="116"/>
      <c r="K1762" s="111"/>
      <c r="L1762" s="46"/>
      <c r="M1762"/>
      <c r="N1762"/>
      <c r="O1762"/>
      <c r="P1762"/>
      <c r="Q1762"/>
      <c r="R1762"/>
      <c r="S1762"/>
    </row>
    <row r="1763" spans="1:19" s="110" customFormat="1" ht="30.75" customHeight="1">
      <c r="A1763" s="113">
        <v>46157</v>
      </c>
      <c r="B1763" s="17" t="s">
        <v>76</v>
      </c>
      <c r="C1763" s="114" t="s">
        <v>2849</v>
      </c>
      <c r="D1763" s="114" t="s">
        <v>2854</v>
      </c>
      <c r="E1763" s="17" t="s">
        <v>40</v>
      </c>
      <c r="F1763" s="17" t="s">
        <v>71</v>
      </c>
      <c r="G1763" s="114" t="s">
        <v>2857</v>
      </c>
      <c r="H1763" s="116"/>
      <c r="K1763" s="111"/>
      <c r="L1763" s="46"/>
      <c r="M1763"/>
      <c r="N1763"/>
      <c r="O1763"/>
      <c r="P1763"/>
      <c r="Q1763"/>
      <c r="R1763"/>
      <c r="S1763"/>
    </row>
    <row r="1764" spans="1:19" s="110" customFormat="1" ht="140.25" customHeight="1">
      <c r="A1764" s="113">
        <v>46157</v>
      </c>
      <c r="B1764" s="17" t="s">
        <v>75</v>
      </c>
      <c r="C1764" s="114" t="s">
        <v>2845</v>
      </c>
      <c r="D1764" s="114" t="s">
        <v>2846</v>
      </c>
      <c r="E1764" s="17" t="s">
        <v>40</v>
      </c>
      <c r="F1764" s="17" t="s">
        <v>71</v>
      </c>
      <c r="G1764" s="119" t="s">
        <v>2859</v>
      </c>
      <c r="H1764" s="116"/>
      <c r="K1764" s="111"/>
      <c r="L1764" s="46"/>
      <c r="M1764"/>
      <c r="N1764"/>
      <c r="O1764"/>
      <c r="P1764"/>
      <c r="Q1764"/>
      <c r="R1764"/>
      <c r="S1764"/>
    </row>
    <row r="1765" spans="1:19" s="110" customFormat="1">
      <c r="A1765" s="113">
        <v>46163</v>
      </c>
      <c r="B1765" s="17" t="s">
        <v>76</v>
      </c>
      <c r="C1765" s="114" t="s">
        <v>2452</v>
      </c>
      <c r="D1765" s="114" t="s">
        <v>2453</v>
      </c>
      <c r="E1765" s="17" t="s">
        <v>41</v>
      </c>
      <c r="F1765" s="17" t="s">
        <v>77</v>
      </c>
      <c r="G1765" s="114" t="s">
        <v>2862</v>
      </c>
      <c r="H1765" s="116"/>
      <c r="K1765" s="111"/>
      <c r="L1765" s="46"/>
      <c r="M1765"/>
      <c r="N1765"/>
      <c r="O1765"/>
      <c r="P1765"/>
      <c r="Q1765"/>
      <c r="R1765"/>
      <c r="S1765"/>
    </row>
    <row r="1766" spans="1:19" s="110" customFormat="1">
      <c r="A1766" s="113">
        <v>46163</v>
      </c>
      <c r="B1766" s="17" t="s">
        <v>75</v>
      </c>
      <c r="C1766" s="114" t="s">
        <v>2871</v>
      </c>
      <c r="D1766" s="114" t="s">
        <v>2887</v>
      </c>
      <c r="E1766" s="17" t="s">
        <v>41</v>
      </c>
      <c r="F1766" s="17" t="s">
        <v>77</v>
      </c>
      <c r="G1766" s="114" t="s">
        <v>2872</v>
      </c>
      <c r="H1766" s="116"/>
      <c r="K1766" s="111"/>
      <c r="L1766" s="46"/>
      <c r="M1766"/>
      <c r="N1766"/>
      <c r="O1766"/>
      <c r="P1766"/>
      <c r="Q1766"/>
      <c r="R1766"/>
      <c r="S1766"/>
    </row>
    <row r="1767" spans="1:19" s="110" customFormat="1">
      <c r="A1767" s="113">
        <v>46163</v>
      </c>
      <c r="B1767" s="17" t="s">
        <v>76</v>
      </c>
      <c r="C1767" s="114" t="s">
        <v>2860</v>
      </c>
      <c r="D1767" s="114" t="s">
        <v>2861</v>
      </c>
      <c r="E1767" s="17" t="s">
        <v>41</v>
      </c>
      <c r="F1767" s="17" t="s">
        <v>77</v>
      </c>
      <c r="G1767" s="114" t="s">
        <v>2862</v>
      </c>
      <c r="H1767" s="116"/>
      <c r="K1767" s="111"/>
      <c r="L1767" s="46"/>
      <c r="M1767"/>
      <c r="N1767"/>
      <c r="O1767"/>
      <c r="P1767"/>
      <c r="Q1767"/>
      <c r="R1767"/>
      <c r="S1767"/>
    </row>
    <row r="1768" spans="1:19" s="110" customFormat="1" ht="47.25">
      <c r="A1768" s="113">
        <v>46163</v>
      </c>
      <c r="B1768" s="17" t="s">
        <v>76</v>
      </c>
      <c r="C1768" s="114" t="s">
        <v>2863</v>
      </c>
      <c r="D1768" s="114" t="s">
        <v>2864</v>
      </c>
      <c r="E1768" s="17" t="s">
        <v>41</v>
      </c>
      <c r="F1768" s="17" t="s">
        <v>77</v>
      </c>
      <c r="G1768" s="114" t="s">
        <v>2865</v>
      </c>
      <c r="H1768" s="116"/>
      <c r="K1768" s="111"/>
      <c r="L1768" s="46"/>
      <c r="M1768"/>
      <c r="N1768"/>
      <c r="O1768"/>
      <c r="P1768"/>
      <c r="Q1768"/>
      <c r="R1768"/>
      <c r="S1768"/>
    </row>
    <row r="1769" spans="1:19" s="110" customFormat="1">
      <c r="A1769" s="113">
        <v>46163</v>
      </c>
      <c r="B1769" s="17" t="s">
        <v>76</v>
      </c>
      <c r="C1769" s="114" t="s">
        <v>2866</v>
      </c>
      <c r="D1769" s="114" t="s">
        <v>2867</v>
      </c>
      <c r="E1769" s="17" t="s">
        <v>41</v>
      </c>
      <c r="F1769" s="17" t="s">
        <v>77</v>
      </c>
      <c r="G1769" s="114" t="s">
        <v>2862</v>
      </c>
      <c r="H1769" s="116"/>
      <c r="K1769" s="111"/>
      <c r="L1769" s="46"/>
      <c r="M1769"/>
      <c r="N1769"/>
      <c r="O1769"/>
      <c r="P1769"/>
      <c r="Q1769"/>
      <c r="R1769"/>
      <c r="S1769"/>
    </row>
    <row r="1770" spans="1:19" s="110" customFormat="1" ht="31.5">
      <c r="A1770" s="113">
        <v>46163</v>
      </c>
      <c r="B1770" s="17" t="s">
        <v>75</v>
      </c>
      <c r="C1770" s="114" t="s">
        <v>2868</v>
      </c>
      <c r="D1770" s="114" t="s">
        <v>2869</v>
      </c>
      <c r="E1770" s="17" t="s">
        <v>41</v>
      </c>
      <c r="F1770" s="17" t="s">
        <v>71</v>
      </c>
      <c r="G1770" s="114" t="s">
        <v>2870</v>
      </c>
      <c r="H1770" s="116"/>
      <c r="K1770" s="111"/>
      <c r="L1770" s="46"/>
      <c r="M1770"/>
      <c r="N1770"/>
      <c r="O1770"/>
      <c r="P1770"/>
      <c r="Q1770"/>
      <c r="R1770"/>
      <c r="S1770"/>
    </row>
    <row r="1771" spans="1:19" s="110" customFormat="1" ht="47.25">
      <c r="A1771" s="113">
        <v>46163</v>
      </c>
      <c r="B1771" s="17" t="s">
        <v>76</v>
      </c>
      <c r="C1771" s="114" t="s">
        <v>2873</v>
      </c>
      <c r="D1771" s="114" t="s">
        <v>2874</v>
      </c>
      <c r="E1771" s="17" t="s">
        <v>41</v>
      </c>
      <c r="F1771" s="17" t="s">
        <v>77</v>
      </c>
      <c r="G1771" s="114" t="s">
        <v>2875</v>
      </c>
      <c r="H1771" s="116"/>
      <c r="K1771" s="111"/>
      <c r="L1771" s="46"/>
      <c r="M1771"/>
      <c r="N1771"/>
      <c r="O1771"/>
      <c r="P1771"/>
      <c r="Q1771"/>
      <c r="R1771"/>
      <c r="S1771"/>
    </row>
    <row r="1772" spans="1:19">
      <c r="A1772" s="113">
        <v>46164</v>
      </c>
      <c r="B1772" s="17" t="s">
        <v>76</v>
      </c>
      <c r="C1772" s="114" t="s">
        <v>2880</v>
      </c>
      <c r="D1772" s="114" t="s">
        <v>2881</v>
      </c>
      <c r="E1772" s="17" t="s">
        <v>41</v>
      </c>
      <c r="F1772" s="17" t="s">
        <v>77</v>
      </c>
      <c r="G1772" s="114" t="s">
        <v>2882</v>
      </c>
      <c r="H1772" s="17"/>
      <c r="K1772" s="14"/>
      <c r="L1772" s="46"/>
    </row>
    <row r="1773" spans="1:19">
      <c r="A1773" s="113">
        <v>46164</v>
      </c>
      <c r="B1773" s="17" t="s">
        <v>76</v>
      </c>
      <c r="C1773" s="114" t="s">
        <v>2883</v>
      </c>
      <c r="D1773" s="114" t="s">
        <v>2884</v>
      </c>
      <c r="E1773" s="17" t="s">
        <v>41</v>
      </c>
      <c r="F1773" s="17" t="s">
        <v>71</v>
      </c>
      <c r="G1773" s="114" t="s">
        <v>2885</v>
      </c>
      <c r="H1773" s="17"/>
      <c r="K1773" s="14"/>
      <c r="L1773" s="46"/>
    </row>
    <row r="1774" spans="1:19">
      <c r="A1774" s="113">
        <v>46164</v>
      </c>
      <c r="B1774" s="17" t="s">
        <v>76</v>
      </c>
      <c r="C1774" s="114" t="s">
        <v>2877</v>
      </c>
      <c r="D1774" s="114" t="s">
        <v>2878</v>
      </c>
      <c r="E1774" s="17" t="s">
        <v>41</v>
      </c>
      <c r="F1774" s="17" t="s">
        <v>77</v>
      </c>
      <c r="G1774" s="114" t="s">
        <v>2879</v>
      </c>
      <c r="H1774" s="17"/>
      <c r="K1774" s="14"/>
      <c r="L1774" s="46"/>
    </row>
    <row r="1775" spans="1:19">
      <c r="A1775" s="113">
        <v>46164</v>
      </c>
      <c r="B1775" s="17" t="s">
        <v>76</v>
      </c>
      <c r="C1775" s="114" t="s">
        <v>1373</v>
      </c>
      <c r="D1775" s="114" t="s">
        <v>2876</v>
      </c>
      <c r="E1775" s="17" t="s">
        <v>41</v>
      </c>
      <c r="F1775" s="17" t="s">
        <v>77</v>
      </c>
      <c r="G1775" s="114" t="s">
        <v>2886</v>
      </c>
      <c r="H1775" s="17"/>
      <c r="K1775" s="14"/>
      <c r="L1775" s="46"/>
    </row>
    <row r="1776" spans="1:19" ht="63">
      <c r="A1776" s="113">
        <v>46167</v>
      </c>
      <c r="B1776" s="17" t="s">
        <v>197</v>
      </c>
      <c r="C1776" s="114" t="s">
        <v>2845</v>
      </c>
      <c r="D1776" s="114" t="s">
        <v>2887</v>
      </c>
      <c r="E1776" s="17" t="s">
        <v>40</v>
      </c>
      <c r="F1776" s="17" t="s">
        <v>71</v>
      </c>
      <c r="G1776" s="114" t="s">
        <v>2888</v>
      </c>
      <c r="H1776" s="17"/>
      <c r="K1776" s="14"/>
      <c r="L1776" s="46"/>
    </row>
    <row r="1777" spans="1:12" ht="31.5">
      <c r="A1777" s="113">
        <v>46167</v>
      </c>
      <c r="B1777" s="17" t="s">
        <v>76</v>
      </c>
      <c r="C1777" s="114" t="s">
        <v>1653</v>
      </c>
      <c r="D1777" s="114" t="s">
        <v>2869</v>
      </c>
      <c r="E1777" s="17" t="s">
        <v>40</v>
      </c>
      <c r="F1777" s="17" t="s">
        <v>71</v>
      </c>
      <c r="G1777" s="114" t="s">
        <v>2889</v>
      </c>
      <c r="H1777" s="17"/>
      <c r="K1777" s="14"/>
      <c r="L1777" s="46"/>
    </row>
    <row r="1778" spans="1:12">
      <c r="A1778" s="113">
        <v>46168</v>
      </c>
      <c r="B1778" s="17" t="s">
        <v>75</v>
      </c>
      <c r="C1778" s="114" t="s">
        <v>2890</v>
      </c>
      <c r="D1778" s="114" t="s">
        <v>2891</v>
      </c>
      <c r="E1778" s="17" t="s">
        <v>41</v>
      </c>
      <c r="F1778" s="17" t="s">
        <v>71</v>
      </c>
      <c r="G1778" s="114" t="s">
        <v>2892</v>
      </c>
      <c r="H1778" s="17"/>
      <c r="K1778" s="14"/>
      <c r="L1778" s="46"/>
    </row>
    <row r="1779" spans="1:12" ht="47.25">
      <c r="A1779" s="113">
        <v>46168</v>
      </c>
      <c r="B1779" s="17" t="s">
        <v>75</v>
      </c>
      <c r="C1779" s="114" t="s">
        <v>2893</v>
      </c>
      <c r="D1779" s="114" t="s">
        <v>2894</v>
      </c>
      <c r="E1779" s="17" t="s">
        <v>41</v>
      </c>
      <c r="F1779" s="17" t="s">
        <v>71</v>
      </c>
      <c r="G1779" s="114" t="s">
        <v>2895</v>
      </c>
      <c r="H1779" s="17"/>
      <c r="K1779" s="14"/>
      <c r="L1779" s="46"/>
    </row>
    <row r="1780" spans="1:12">
      <c r="A1780" s="113">
        <v>46168</v>
      </c>
      <c r="B1780" s="17" t="s">
        <v>75</v>
      </c>
      <c r="C1780" t="s">
        <v>2901</v>
      </c>
      <c r="D1780" s="114" t="s">
        <v>2902</v>
      </c>
      <c r="E1780" s="17" t="s">
        <v>41</v>
      </c>
      <c r="F1780" s="17" t="s">
        <v>77</v>
      </c>
      <c r="G1780" s="114" t="s">
        <v>1385</v>
      </c>
      <c r="H1780" s="17"/>
      <c r="K1780" s="14"/>
      <c r="L1780" s="46"/>
    </row>
    <row r="1781" spans="1:12">
      <c r="A1781" s="113">
        <v>46168</v>
      </c>
      <c r="B1781" s="17" t="s">
        <v>75</v>
      </c>
      <c r="C1781" s="114" t="s">
        <v>1531</v>
      </c>
      <c r="D1781" s="114" t="s">
        <v>2896</v>
      </c>
      <c r="E1781" s="17" t="s">
        <v>41</v>
      </c>
      <c r="F1781" s="17" t="s">
        <v>77</v>
      </c>
      <c r="G1781" s="114" t="s">
        <v>2897</v>
      </c>
      <c r="H1781" s="17"/>
      <c r="K1781" s="14"/>
      <c r="L1781" s="46"/>
    </row>
    <row r="1782" spans="1:12">
      <c r="A1782" s="113">
        <v>46168</v>
      </c>
      <c r="B1782" s="17" t="s">
        <v>75</v>
      </c>
      <c r="C1782" s="114" t="s">
        <v>2898</v>
      </c>
      <c r="D1782" s="114" t="s">
        <v>2899</v>
      </c>
      <c r="E1782" s="17" t="s">
        <v>41</v>
      </c>
      <c r="F1782" s="17" t="s">
        <v>71</v>
      </c>
      <c r="G1782" s="114" t="s">
        <v>2900</v>
      </c>
      <c r="H1782" s="17"/>
      <c r="K1782" s="14"/>
      <c r="L1782" s="46"/>
    </row>
    <row r="1783" spans="1:12">
      <c r="A1783" s="113">
        <v>46170</v>
      </c>
      <c r="B1783" s="17" t="s">
        <v>75</v>
      </c>
      <c r="C1783" s="114" t="s">
        <v>2903</v>
      </c>
      <c r="D1783" s="114" t="s">
        <v>2909</v>
      </c>
      <c r="E1783" s="17" t="s">
        <v>40</v>
      </c>
      <c r="F1783" s="17" t="s">
        <v>71</v>
      </c>
      <c r="G1783" s="114" t="s">
        <v>2908</v>
      </c>
      <c r="H1783" s="17"/>
      <c r="K1783" s="14"/>
      <c r="L1783" s="46"/>
    </row>
    <row r="1784" spans="1:12">
      <c r="A1784" s="113">
        <v>46170</v>
      </c>
      <c r="B1784" s="17" t="s">
        <v>75</v>
      </c>
      <c r="C1784" s="114" t="s">
        <v>2904</v>
      </c>
      <c r="D1784" s="114" t="s">
        <v>2905</v>
      </c>
      <c r="E1784" s="17" t="s">
        <v>40</v>
      </c>
      <c r="F1784" s="17" t="s">
        <v>71</v>
      </c>
      <c r="G1784" s="114" t="s">
        <v>2906</v>
      </c>
      <c r="H1784" s="17"/>
      <c r="K1784" s="14"/>
      <c r="L1784" s="46"/>
    </row>
    <row r="1785" spans="1:12" ht="47.25">
      <c r="A1785" s="113">
        <v>46171</v>
      </c>
      <c r="B1785" s="17" t="s">
        <v>75</v>
      </c>
      <c r="C1785" s="114" t="s">
        <v>2845</v>
      </c>
      <c r="D1785" s="114" t="s">
        <v>2887</v>
      </c>
      <c r="E1785" s="17" t="s">
        <v>41</v>
      </c>
      <c r="F1785" s="17" t="s">
        <v>77</v>
      </c>
      <c r="G1785" s="114" t="s">
        <v>2907</v>
      </c>
      <c r="H1785" s="17"/>
      <c r="K1785" s="14"/>
      <c r="L1785" s="46"/>
    </row>
    <row r="1786" spans="1:12">
      <c r="A1786" s="113">
        <v>46175</v>
      </c>
      <c r="B1786" s="17" t="s">
        <v>76</v>
      </c>
      <c r="C1786" s="114" t="s">
        <v>1210</v>
      </c>
      <c r="D1786" s="114" t="s">
        <v>2921</v>
      </c>
      <c r="E1786" s="17" t="s">
        <v>40</v>
      </c>
      <c r="F1786" s="17" t="s">
        <v>71</v>
      </c>
      <c r="G1786" s="114" t="s">
        <v>2927</v>
      </c>
      <c r="H1786" s="17"/>
      <c r="K1786" s="14"/>
      <c r="L1786" s="46"/>
    </row>
    <row r="1787" spans="1:12">
      <c r="A1787" s="113">
        <v>46175</v>
      </c>
      <c r="B1787" s="17" t="s">
        <v>197</v>
      </c>
      <c r="C1787" s="114" t="s">
        <v>1213</v>
      </c>
      <c r="D1787" s="114" t="s">
        <v>2922</v>
      </c>
      <c r="E1787" s="17" t="s">
        <v>62</v>
      </c>
      <c r="F1787" s="17" t="s">
        <v>71</v>
      </c>
      <c r="G1787" t="s">
        <v>2926</v>
      </c>
      <c r="H1787" s="17"/>
      <c r="K1787" s="14"/>
      <c r="L1787" s="46"/>
    </row>
    <row r="1788" spans="1:12">
      <c r="A1788" s="113">
        <v>46175</v>
      </c>
      <c r="B1788" s="17" t="s">
        <v>76</v>
      </c>
      <c r="C1788" s="114" t="s">
        <v>1207</v>
      </c>
      <c r="D1788" s="114" t="s">
        <v>2923</v>
      </c>
      <c r="E1788" s="17" t="s">
        <v>40</v>
      </c>
      <c r="F1788" s="17" t="s">
        <v>71</v>
      </c>
      <c r="G1788" s="114" t="s">
        <v>2948</v>
      </c>
      <c r="H1788" s="17"/>
      <c r="K1788" s="14"/>
      <c r="L1788" s="46"/>
    </row>
    <row r="1789" spans="1:12" ht="54.75" customHeight="1">
      <c r="A1789" s="113">
        <v>46175</v>
      </c>
      <c r="B1789" s="17" t="s">
        <v>76</v>
      </c>
      <c r="C1789" s="114" t="s">
        <v>1268</v>
      </c>
      <c r="D1789" s="114" t="s">
        <v>2924</v>
      </c>
      <c r="E1789" s="17" t="s">
        <v>40</v>
      </c>
      <c r="F1789" s="17" t="s">
        <v>71</v>
      </c>
      <c r="G1789" s="114" t="s">
        <v>2925</v>
      </c>
      <c r="H1789" s="17"/>
      <c r="K1789" s="14"/>
      <c r="L1789" s="46"/>
    </row>
    <row r="1790" spans="1:12">
      <c r="A1790" s="113">
        <v>46177</v>
      </c>
      <c r="B1790" s="17" t="s">
        <v>76</v>
      </c>
      <c r="C1790" s="114" t="s">
        <v>2911</v>
      </c>
      <c r="D1790" s="114" t="s">
        <v>2912</v>
      </c>
      <c r="E1790" s="17" t="s">
        <v>41</v>
      </c>
      <c r="F1790" s="17" t="s">
        <v>77</v>
      </c>
      <c r="G1790" s="114" t="s">
        <v>1385</v>
      </c>
      <c r="H1790" s="17"/>
      <c r="K1790" s="14"/>
      <c r="L1790" s="46"/>
    </row>
    <row r="1791" spans="1:12" ht="31.5">
      <c r="A1791" s="113">
        <v>46177</v>
      </c>
      <c r="B1791" s="17" t="s">
        <v>76</v>
      </c>
      <c r="C1791" s="114" t="s">
        <v>2913</v>
      </c>
      <c r="D1791" s="114" t="s">
        <v>2914</v>
      </c>
      <c r="E1791" s="17" t="s">
        <v>41</v>
      </c>
      <c r="F1791" s="17" t="s">
        <v>77</v>
      </c>
      <c r="G1791" s="114" t="s">
        <v>2915</v>
      </c>
      <c r="H1791" s="17"/>
      <c r="K1791" s="14"/>
      <c r="L1791" s="46"/>
    </row>
    <row r="1792" spans="1:12" ht="63" customHeight="1">
      <c r="A1792" s="113">
        <v>46177</v>
      </c>
      <c r="B1792" s="17" t="s">
        <v>76</v>
      </c>
      <c r="C1792" s="114" t="s">
        <v>2913</v>
      </c>
      <c r="D1792" s="114" t="s">
        <v>2916</v>
      </c>
      <c r="E1792" s="17" t="s">
        <v>41</v>
      </c>
      <c r="F1792" s="17" t="s">
        <v>64</v>
      </c>
      <c r="G1792" s="114" t="s">
        <v>2917</v>
      </c>
      <c r="H1792" s="17"/>
      <c r="K1792" s="14"/>
      <c r="L1792" s="46"/>
    </row>
    <row r="1793" spans="1:12" ht="63">
      <c r="A1793" s="113">
        <v>46177</v>
      </c>
      <c r="B1793" s="17" t="s">
        <v>76</v>
      </c>
      <c r="C1793" s="114" t="s">
        <v>2911</v>
      </c>
      <c r="D1793" s="114" t="s">
        <v>2918</v>
      </c>
      <c r="E1793" s="17" t="s">
        <v>41</v>
      </c>
      <c r="F1793" s="17" t="s">
        <v>71</v>
      </c>
      <c r="G1793" s="114" t="s">
        <v>2919</v>
      </c>
      <c r="H1793" s="17"/>
      <c r="K1793" s="14"/>
      <c r="L1793" s="46"/>
    </row>
    <row r="1794" spans="1:12">
      <c r="A1794" s="113">
        <v>46177</v>
      </c>
      <c r="B1794" s="17" t="s">
        <v>76</v>
      </c>
      <c r="C1794" s="114" t="s">
        <v>2910</v>
      </c>
      <c r="D1794" s="114" t="s">
        <v>381</v>
      </c>
      <c r="E1794" s="17" t="s">
        <v>41</v>
      </c>
      <c r="F1794" s="17" t="s">
        <v>77</v>
      </c>
      <c r="G1794" s="114" t="s">
        <v>2920</v>
      </c>
      <c r="H1794" s="17"/>
      <c r="K1794" s="14"/>
      <c r="L1794" s="46"/>
    </row>
    <row r="1795" spans="1:12" ht="87.75" customHeight="1">
      <c r="A1795" s="113">
        <v>46177</v>
      </c>
      <c r="B1795" s="17" t="s">
        <v>75</v>
      </c>
      <c r="C1795" s="114" t="s">
        <v>1202</v>
      </c>
      <c r="D1795" s="114" t="s">
        <v>1552</v>
      </c>
      <c r="E1795" s="17" t="s">
        <v>41</v>
      </c>
      <c r="F1795" s="17" t="s">
        <v>71</v>
      </c>
      <c r="G1795" s="114" t="s">
        <v>2928</v>
      </c>
      <c r="H1795" s="17"/>
      <c r="K1795" s="14"/>
      <c r="L1795" s="46"/>
    </row>
    <row r="1796" spans="1:12" ht="69" customHeight="1">
      <c r="A1796" s="113">
        <v>46177</v>
      </c>
      <c r="B1796" s="17" t="s">
        <v>75</v>
      </c>
      <c r="C1796" s="114" t="s">
        <v>2845</v>
      </c>
      <c r="D1796" s="114" t="s">
        <v>2887</v>
      </c>
      <c r="E1796" s="17" t="s">
        <v>41</v>
      </c>
      <c r="F1796" s="17" t="s">
        <v>71</v>
      </c>
      <c r="G1796" s="114" t="s">
        <v>2929</v>
      </c>
      <c r="H1796" s="17"/>
      <c r="K1796" s="14"/>
      <c r="L1796" s="46"/>
    </row>
    <row r="1797" spans="1:12" ht="72.75" customHeight="1">
      <c r="A1797" s="113">
        <v>46177</v>
      </c>
      <c r="B1797" s="17" t="s">
        <v>75</v>
      </c>
      <c r="C1797" s="114" t="s">
        <v>1210</v>
      </c>
      <c r="D1797" s="114" t="s">
        <v>2921</v>
      </c>
      <c r="E1797" s="17" t="s">
        <v>41</v>
      </c>
      <c r="F1797" s="17" t="s">
        <v>71</v>
      </c>
      <c r="G1797" s="114" t="s">
        <v>2931</v>
      </c>
      <c r="H1797" s="17"/>
      <c r="K1797" s="14"/>
      <c r="L1797" s="46"/>
    </row>
    <row r="1798" spans="1:12" ht="54" customHeight="1">
      <c r="A1798" s="113">
        <v>46177</v>
      </c>
      <c r="B1798" s="17" t="s">
        <v>75</v>
      </c>
      <c r="C1798" s="114" t="s">
        <v>561</v>
      </c>
      <c r="D1798" s="114" t="s">
        <v>2930</v>
      </c>
      <c r="E1798" s="17" t="s">
        <v>41</v>
      </c>
      <c r="F1798" s="17" t="s">
        <v>71</v>
      </c>
      <c r="G1798" s="114" t="s">
        <v>2932</v>
      </c>
      <c r="H1798" s="17"/>
      <c r="K1798" s="14"/>
      <c r="L1798" s="46"/>
    </row>
    <row r="1799" spans="1:12" ht="36" customHeight="1">
      <c r="A1799" s="113">
        <v>46177</v>
      </c>
      <c r="B1799" s="17" t="s">
        <v>75</v>
      </c>
      <c r="C1799" s="114" t="s">
        <v>1207</v>
      </c>
      <c r="D1799" s="114" t="s">
        <v>2923</v>
      </c>
      <c r="E1799" s="17" t="s">
        <v>41</v>
      </c>
      <c r="F1799" s="17" t="s">
        <v>71</v>
      </c>
      <c r="G1799" s="114" t="s">
        <v>2933</v>
      </c>
      <c r="H1799" s="17"/>
      <c r="K1799" s="14"/>
      <c r="L1799" s="46"/>
    </row>
    <row r="1800" spans="1:12" ht="39.75" customHeight="1">
      <c r="A1800" s="113">
        <v>46178</v>
      </c>
      <c r="B1800" s="17" t="s">
        <v>75</v>
      </c>
      <c r="C1800" s="114" t="s">
        <v>1202</v>
      </c>
      <c r="D1800" s="114" t="s">
        <v>1552</v>
      </c>
      <c r="E1800" s="17" t="s">
        <v>41</v>
      </c>
      <c r="F1800" s="17" t="s">
        <v>64</v>
      </c>
      <c r="G1800" s="114" t="s">
        <v>2934</v>
      </c>
      <c r="H1800" s="17"/>
      <c r="K1800" s="14"/>
      <c r="L1800" s="46"/>
    </row>
    <row r="1801" spans="1:12" ht="65.25" customHeight="1">
      <c r="A1801" s="113">
        <v>46178</v>
      </c>
      <c r="B1801" s="17" t="s">
        <v>75</v>
      </c>
      <c r="C1801" s="114" t="s">
        <v>1268</v>
      </c>
      <c r="D1801" s="114" t="s">
        <v>2924</v>
      </c>
      <c r="E1801" s="17" t="s">
        <v>41</v>
      </c>
      <c r="F1801" s="17" t="s">
        <v>71</v>
      </c>
      <c r="G1801" s="114" t="s">
        <v>2935</v>
      </c>
      <c r="H1801" s="17"/>
      <c r="K1801" s="14"/>
      <c r="L1801" s="46"/>
    </row>
    <row r="1802" spans="1:12" ht="68.25" customHeight="1">
      <c r="A1802" s="113">
        <v>46178</v>
      </c>
      <c r="B1802" s="17" t="s">
        <v>75</v>
      </c>
      <c r="C1802" s="114" t="s">
        <v>2936</v>
      </c>
      <c r="D1802" s="114" t="s">
        <v>2852</v>
      </c>
      <c r="E1802" s="17" t="s">
        <v>41</v>
      </c>
      <c r="F1802" s="17" t="s">
        <v>71</v>
      </c>
      <c r="G1802" s="114" t="s">
        <v>2937</v>
      </c>
      <c r="H1802" s="17"/>
      <c r="K1802" s="14"/>
      <c r="L1802" s="46"/>
    </row>
    <row r="1803" spans="1:12" ht="126">
      <c r="A1803" s="113">
        <v>46178</v>
      </c>
      <c r="B1803" s="17" t="s">
        <v>75</v>
      </c>
      <c r="C1803" s="114" t="s">
        <v>2938</v>
      </c>
      <c r="D1803" s="114" t="s">
        <v>2939</v>
      </c>
      <c r="E1803" s="17" t="s">
        <v>41</v>
      </c>
      <c r="F1803" s="17" t="s">
        <v>71</v>
      </c>
      <c r="G1803" s="114" t="s">
        <v>2940</v>
      </c>
      <c r="H1803" s="17"/>
      <c r="K1803" s="14"/>
      <c r="L1803" s="46"/>
    </row>
    <row r="1804" spans="1:12" ht="93.75" customHeight="1">
      <c r="A1804" s="113">
        <v>46178</v>
      </c>
      <c r="B1804" s="17" t="s">
        <v>75</v>
      </c>
      <c r="C1804" s="114" t="s">
        <v>2941</v>
      </c>
      <c r="D1804" s="114" t="s">
        <v>2942</v>
      </c>
      <c r="E1804" s="17" t="s">
        <v>41</v>
      </c>
      <c r="F1804" s="17" t="s">
        <v>71</v>
      </c>
      <c r="G1804" s="114" t="s">
        <v>2947</v>
      </c>
      <c r="H1804" s="17"/>
      <c r="K1804" s="14"/>
      <c r="L1804" s="46"/>
    </row>
    <row r="1805" spans="1:12" ht="111" customHeight="1">
      <c r="A1805" s="113">
        <v>46178</v>
      </c>
      <c r="B1805" s="17" t="s">
        <v>75</v>
      </c>
      <c r="C1805" s="114" t="s">
        <v>2943</v>
      </c>
      <c r="D1805" s="114" t="s">
        <v>1967</v>
      </c>
      <c r="E1805" s="17" t="s">
        <v>41</v>
      </c>
      <c r="F1805" s="17" t="s">
        <v>71</v>
      </c>
      <c r="G1805" s="114" t="s">
        <v>2944</v>
      </c>
      <c r="H1805" s="17"/>
      <c r="K1805" s="14"/>
      <c r="L1805" s="46"/>
    </row>
    <row r="1806" spans="1:12" ht="39" customHeight="1">
      <c r="A1806" s="113">
        <v>46178</v>
      </c>
      <c r="B1806" s="17" t="s">
        <v>75</v>
      </c>
      <c r="C1806" s="114" t="s">
        <v>2945</v>
      </c>
      <c r="D1806" s="114"/>
      <c r="E1806" s="17" t="s">
        <v>41</v>
      </c>
      <c r="F1806" s="17" t="s">
        <v>77</v>
      </c>
      <c r="G1806" s="114" t="s">
        <v>2946</v>
      </c>
      <c r="H1806" s="17"/>
      <c r="K1806" s="14"/>
      <c r="L1806" s="46"/>
    </row>
    <row r="1807" spans="1:12" ht="39" customHeight="1">
      <c r="A1807" s="113">
        <v>46181</v>
      </c>
      <c r="B1807" s="17" t="s">
        <v>75</v>
      </c>
      <c r="C1807" s="114" t="s">
        <v>2949</v>
      </c>
      <c r="D1807" s="114" t="s">
        <v>2951</v>
      </c>
      <c r="E1807" s="17" t="s">
        <v>41</v>
      </c>
      <c r="F1807" s="17" t="s">
        <v>64</v>
      </c>
      <c r="G1807" s="114" t="s">
        <v>2950</v>
      </c>
      <c r="H1807" s="17"/>
      <c r="K1807" s="14"/>
      <c r="L1807" s="46"/>
    </row>
    <row r="1808" spans="1:12" ht="111.75" customHeight="1">
      <c r="A1808" s="113">
        <v>46182</v>
      </c>
      <c r="B1808" s="17" t="s">
        <v>75</v>
      </c>
      <c r="C1808" s="114" t="s">
        <v>2949</v>
      </c>
      <c r="D1808" s="114" t="s">
        <v>2951</v>
      </c>
      <c r="E1808" s="17" t="s">
        <v>40</v>
      </c>
      <c r="F1808" s="17" t="s">
        <v>71</v>
      </c>
      <c r="G1808" s="114" t="s">
        <v>2954</v>
      </c>
      <c r="H1808" s="17"/>
      <c r="K1808" s="14"/>
      <c r="L1808" s="46"/>
    </row>
    <row r="1809" spans="1:12" ht="39" customHeight="1">
      <c r="A1809" s="113">
        <v>46182</v>
      </c>
      <c r="B1809" s="17" t="s">
        <v>76</v>
      </c>
      <c r="C1809" s="114" t="s">
        <v>1203</v>
      </c>
      <c r="D1809" s="114" t="s">
        <v>2952</v>
      </c>
      <c r="E1809" s="17" t="s">
        <v>40</v>
      </c>
      <c r="F1809" s="17" t="s">
        <v>77</v>
      </c>
      <c r="G1809" s="114" t="s">
        <v>2965</v>
      </c>
      <c r="H1809" s="17"/>
      <c r="K1809" s="14"/>
      <c r="L1809" s="46"/>
    </row>
    <row r="1810" spans="1:12" ht="179.25" customHeight="1">
      <c r="A1810" s="113">
        <v>46182</v>
      </c>
      <c r="B1810" s="17" t="s">
        <v>75</v>
      </c>
      <c r="C1810" s="114" t="s">
        <v>1202</v>
      </c>
      <c r="D1810" s="114" t="s">
        <v>2953</v>
      </c>
      <c r="E1810" s="17" t="s">
        <v>40</v>
      </c>
      <c r="F1810" s="17" t="s">
        <v>71</v>
      </c>
      <c r="G1810" s="114" t="s">
        <v>2955</v>
      </c>
      <c r="H1810" s="17"/>
      <c r="K1810" s="14"/>
      <c r="L1810" s="46"/>
    </row>
    <row r="1811" spans="1:12" ht="39" customHeight="1">
      <c r="A1811" s="113">
        <v>46184</v>
      </c>
      <c r="B1811" s="17" t="s">
        <v>76</v>
      </c>
      <c r="C1811" s="114" t="s">
        <v>2218</v>
      </c>
      <c r="D1811" s="114" t="s">
        <v>2956</v>
      </c>
      <c r="E1811" s="17" t="s">
        <v>40</v>
      </c>
      <c r="F1811" s="17" t="s">
        <v>64</v>
      </c>
      <c r="G1811" s="114" t="s">
        <v>2957</v>
      </c>
      <c r="H1811" s="17"/>
      <c r="K1811" s="14"/>
      <c r="L1811" s="46"/>
    </row>
    <row r="1812" spans="1:12" ht="67.5" customHeight="1">
      <c r="A1812" s="113">
        <v>46184</v>
      </c>
      <c r="B1812" s="17" t="s">
        <v>197</v>
      </c>
      <c r="C1812" s="114" t="s">
        <v>2958</v>
      </c>
      <c r="D1812" s="114" t="s">
        <v>283</v>
      </c>
      <c r="E1812" s="17" t="s">
        <v>41</v>
      </c>
      <c r="F1812" s="17" t="s">
        <v>71</v>
      </c>
      <c r="G1812" s="114" t="s">
        <v>2959</v>
      </c>
      <c r="H1812" s="17"/>
      <c r="K1812" s="14"/>
      <c r="L1812" s="46"/>
    </row>
    <row r="1813" spans="1:12" ht="67.5" customHeight="1">
      <c r="A1813" s="113">
        <v>46184</v>
      </c>
      <c r="B1813" s="17" t="s">
        <v>75</v>
      </c>
      <c r="C1813" s="114" t="s">
        <v>1253</v>
      </c>
      <c r="D1813" s="114" t="s">
        <v>2960</v>
      </c>
      <c r="E1813" s="17" t="s">
        <v>40</v>
      </c>
      <c r="F1813" s="17" t="s">
        <v>71</v>
      </c>
      <c r="G1813" s="114" t="s">
        <v>2961</v>
      </c>
      <c r="H1813" s="17"/>
      <c r="K1813" s="14"/>
      <c r="L1813" s="46"/>
    </row>
    <row r="1814" spans="1:12" ht="90" customHeight="1">
      <c r="A1814" s="113">
        <v>46184</v>
      </c>
      <c r="B1814" s="17" t="s">
        <v>75</v>
      </c>
      <c r="C1814" s="114" t="s">
        <v>2218</v>
      </c>
      <c r="D1814" s="114" t="s">
        <v>2963</v>
      </c>
      <c r="E1814" s="17" t="s">
        <v>40</v>
      </c>
      <c r="F1814" s="17" t="s">
        <v>71</v>
      </c>
      <c r="G1814" s="114" t="s">
        <v>2964</v>
      </c>
      <c r="H1814" s="17"/>
      <c r="K1814" s="14"/>
      <c r="L1814" s="46"/>
    </row>
    <row r="1815" spans="1:12" ht="92.25" customHeight="1">
      <c r="A1815" s="113">
        <v>46184</v>
      </c>
      <c r="B1815" s="17" t="s">
        <v>197</v>
      </c>
      <c r="C1815" s="114" t="s">
        <v>1268</v>
      </c>
      <c r="D1815" s="114" t="s">
        <v>2924</v>
      </c>
      <c r="E1815" s="17" t="s">
        <v>41</v>
      </c>
      <c r="F1815" s="17" t="s">
        <v>71</v>
      </c>
      <c r="G1815" s="114" t="s">
        <v>2962</v>
      </c>
      <c r="H1815" s="17"/>
      <c r="K1815" s="14"/>
      <c r="L1815" s="46"/>
    </row>
    <row r="1816" spans="1:12" ht="86.25" customHeight="1">
      <c r="A1816" s="113">
        <v>46185</v>
      </c>
      <c r="B1816" s="17" t="s">
        <v>197</v>
      </c>
      <c r="C1816" s="114" t="s">
        <v>1202</v>
      </c>
      <c r="D1816" s="114" t="s">
        <v>2953</v>
      </c>
      <c r="E1816" s="17" t="s">
        <v>41</v>
      </c>
      <c r="F1816" s="17" t="s">
        <v>71</v>
      </c>
      <c r="G1816" s="114" t="s">
        <v>2966</v>
      </c>
      <c r="H1816" s="17"/>
      <c r="K1816" s="14"/>
      <c r="L1816" s="46"/>
    </row>
    <row r="1817" spans="1:12" ht="39" customHeight="1">
      <c r="A1817" s="113">
        <v>46185</v>
      </c>
      <c r="B1817" s="17" t="s">
        <v>197</v>
      </c>
      <c r="C1817" s="114" t="s">
        <v>1268</v>
      </c>
      <c r="D1817" s="114" t="s">
        <v>2924</v>
      </c>
      <c r="E1817" s="17" t="s">
        <v>41</v>
      </c>
      <c r="F1817" s="17" t="s">
        <v>71</v>
      </c>
      <c r="G1817" s="114" t="s">
        <v>2967</v>
      </c>
      <c r="H1817" s="17"/>
      <c r="K1817" s="14"/>
      <c r="L1817" s="46"/>
    </row>
    <row r="1818" spans="1:12" ht="74.25" customHeight="1">
      <c r="A1818" s="113">
        <v>46185</v>
      </c>
      <c r="B1818" s="17" t="s">
        <v>75</v>
      </c>
      <c r="C1818" s="114" t="s">
        <v>2968</v>
      </c>
      <c r="D1818" s="114" t="s">
        <v>2969</v>
      </c>
      <c r="E1818" s="17" t="s">
        <v>40</v>
      </c>
      <c r="F1818" s="17" t="s">
        <v>71</v>
      </c>
      <c r="G1818" s="114" t="s">
        <v>2972</v>
      </c>
      <c r="H1818" s="17"/>
      <c r="K1818" s="14"/>
      <c r="L1818" s="46"/>
    </row>
    <row r="1819" spans="1:12" ht="54.75" customHeight="1">
      <c r="A1819" s="113">
        <v>46185</v>
      </c>
      <c r="B1819" s="17" t="s">
        <v>75</v>
      </c>
      <c r="C1819" s="114" t="s">
        <v>2970</v>
      </c>
      <c r="D1819" s="114" t="s">
        <v>2971</v>
      </c>
      <c r="E1819" s="17" t="s">
        <v>40</v>
      </c>
      <c r="F1819" s="17" t="s">
        <v>71</v>
      </c>
      <c r="G1819" s="114" t="s">
        <v>2973</v>
      </c>
      <c r="H1819" s="17"/>
      <c r="K1819" s="14"/>
      <c r="L1819" s="46"/>
    </row>
    <row r="1820" spans="1:12" ht="54.75" customHeight="1">
      <c r="A1820" s="113">
        <v>46188</v>
      </c>
      <c r="B1820" s="17" t="s">
        <v>76</v>
      </c>
      <c r="C1820" s="114" t="s">
        <v>2976</v>
      </c>
      <c r="D1820" s="114" t="s">
        <v>423</v>
      </c>
      <c r="E1820" s="17" t="s">
        <v>41</v>
      </c>
      <c r="F1820" s="17" t="s">
        <v>71</v>
      </c>
      <c r="G1820" s="114" t="s">
        <v>2977</v>
      </c>
      <c r="H1820" s="17"/>
      <c r="K1820" s="14"/>
      <c r="L1820" s="46"/>
    </row>
    <row r="1821" spans="1:12" ht="74.25" customHeight="1">
      <c r="A1821" s="113">
        <v>46188</v>
      </c>
      <c r="B1821" s="17" t="s">
        <v>75</v>
      </c>
      <c r="C1821" s="114" t="s">
        <v>2218</v>
      </c>
      <c r="D1821" s="114" t="s">
        <v>2975</v>
      </c>
      <c r="E1821" s="17" t="s">
        <v>41</v>
      </c>
      <c r="F1821" s="17" t="s">
        <v>71</v>
      </c>
      <c r="G1821" s="114" t="s">
        <v>2978</v>
      </c>
      <c r="H1821" s="17"/>
      <c r="K1821" s="14"/>
      <c r="L1821" s="46"/>
    </row>
    <row r="1822" spans="1:12" ht="74.25" customHeight="1">
      <c r="A1822" s="113">
        <v>46189</v>
      </c>
      <c r="B1822" s="17" t="s">
        <v>76</v>
      </c>
      <c r="C1822" s="114" t="s">
        <v>2979</v>
      </c>
      <c r="D1822" s="114" t="s">
        <v>2980</v>
      </c>
      <c r="E1822" s="17" t="s">
        <v>41</v>
      </c>
      <c r="F1822" s="17" t="s">
        <v>71</v>
      </c>
      <c r="G1822" s="114" t="s">
        <v>2985</v>
      </c>
      <c r="H1822" s="17"/>
      <c r="K1822" s="14"/>
      <c r="L1822" s="46"/>
    </row>
    <row r="1823" spans="1:12" ht="74.25" customHeight="1">
      <c r="A1823" s="113">
        <v>46189</v>
      </c>
      <c r="B1823" s="17" t="s">
        <v>197</v>
      </c>
      <c r="C1823" s="114" t="s">
        <v>2849</v>
      </c>
      <c r="D1823" s="114" t="s">
        <v>2854</v>
      </c>
      <c r="E1823" s="17" t="s">
        <v>41</v>
      </c>
      <c r="F1823" s="17" t="s">
        <v>71</v>
      </c>
      <c r="G1823" s="114" t="s">
        <v>2984</v>
      </c>
      <c r="H1823" s="17"/>
      <c r="K1823" s="14"/>
      <c r="L1823" s="46"/>
    </row>
    <row r="1824" spans="1:12" ht="74.25" customHeight="1">
      <c r="A1824" s="113">
        <v>46189</v>
      </c>
      <c r="B1824" s="17" t="s">
        <v>76</v>
      </c>
      <c r="C1824" s="114" t="s">
        <v>1306</v>
      </c>
      <c r="D1824" s="114" t="s">
        <v>2982</v>
      </c>
      <c r="E1824" s="17" t="s">
        <v>41</v>
      </c>
      <c r="F1824" s="17" t="s">
        <v>71</v>
      </c>
      <c r="G1824" s="114" t="s">
        <v>2983</v>
      </c>
      <c r="H1824" s="17"/>
      <c r="K1824" s="14"/>
      <c r="L1824" s="46"/>
    </row>
    <row r="1825" spans="1:12" ht="42" customHeight="1">
      <c r="A1825" s="113">
        <v>46189</v>
      </c>
      <c r="B1825" s="17" t="s">
        <v>76</v>
      </c>
      <c r="C1825" s="114" t="s">
        <v>2986</v>
      </c>
      <c r="D1825" s="114" t="s">
        <v>2981</v>
      </c>
      <c r="E1825" s="17" t="s">
        <v>41</v>
      </c>
      <c r="F1825" s="17" t="s">
        <v>64</v>
      </c>
      <c r="G1825" s="114" t="s">
        <v>2999</v>
      </c>
      <c r="H1825" s="17"/>
      <c r="K1825" s="14"/>
      <c r="L1825" s="46"/>
    </row>
    <row r="1826" spans="1:12" ht="74.25" customHeight="1">
      <c r="A1826" s="113">
        <v>46189</v>
      </c>
      <c r="B1826" s="17" t="s">
        <v>76</v>
      </c>
      <c r="C1826" s="114" t="s">
        <v>2987</v>
      </c>
      <c r="D1826" s="114" t="s">
        <v>2988</v>
      </c>
      <c r="E1826" s="17" t="s">
        <v>41</v>
      </c>
      <c r="F1826" s="17" t="s">
        <v>71</v>
      </c>
      <c r="G1826" s="114" t="s">
        <v>2993</v>
      </c>
      <c r="H1826" s="17"/>
      <c r="K1826" s="14"/>
      <c r="L1826" s="46"/>
    </row>
    <row r="1827" spans="1:12" ht="24.75" customHeight="1">
      <c r="A1827" s="113">
        <v>46189</v>
      </c>
      <c r="B1827" s="17" t="s">
        <v>76</v>
      </c>
      <c r="C1827" s="114" t="s">
        <v>2989</v>
      </c>
      <c r="D1827" s="114" t="s">
        <v>2990</v>
      </c>
      <c r="E1827" s="17" t="s">
        <v>41</v>
      </c>
      <c r="F1827" s="17" t="s">
        <v>77</v>
      </c>
      <c r="G1827" s="114" t="s">
        <v>1385</v>
      </c>
      <c r="H1827" s="17"/>
      <c r="K1827" s="14"/>
      <c r="L1827" s="46"/>
    </row>
    <row r="1828" spans="1:12" ht="45" customHeight="1">
      <c r="A1828" s="113">
        <v>46189</v>
      </c>
      <c r="B1828" s="17" t="s">
        <v>76</v>
      </c>
      <c r="C1828" s="114" t="s">
        <v>2175</v>
      </c>
      <c r="D1828" s="114" t="s">
        <v>2991</v>
      </c>
      <c r="E1828" s="17" t="s">
        <v>41</v>
      </c>
      <c r="F1828" s="17" t="s">
        <v>71</v>
      </c>
      <c r="G1828" s="114" t="s">
        <v>2992</v>
      </c>
      <c r="H1828" s="17"/>
      <c r="K1828" s="14"/>
      <c r="L1828" s="46"/>
    </row>
    <row r="1829" spans="1:12" ht="27.75" customHeight="1">
      <c r="A1829" s="113">
        <v>46189</v>
      </c>
      <c r="B1829" s="17" t="s">
        <v>76</v>
      </c>
      <c r="C1829" s="114" t="s">
        <v>2994</v>
      </c>
      <c r="D1829" s="114" t="s">
        <v>2995</v>
      </c>
      <c r="E1829" s="17" t="s">
        <v>41</v>
      </c>
      <c r="F1829" s="17" t="s">
        <v>64</v>
      </c>
      <c r="G1829" s="114" t="s">
        <v>2996</v>
      </c>
      <c r="H1829" s="17"/>
      <c r="K1829" s="14"/>
      <c r="L1829" s="46"/>
    </row>
    <row r="1830" spans="1:12" ht="24" customHeight="1">
      <c r="A1830" s="113">
        <v>46189</v>
      </c>
      <c r="B1830" s="17" t="s">
        <v>76</v>
      </c>
      <c r="C1830" s="114" t="s">
        <v>407</v>
      </c>
      <c r="D1830" s="114" t="s">
        <v>2997</v>
      </c>
      <c r="E1830" s="17" t="s">
        <v>41</v>
      </c>
      <c r="F1830" s="17" t="s">
        <v>64</v>
      </c>
      <c r="G1830" s="114" t="s">
        <v>2996</v>
      </c>
      <c r="H1830" s="17"/>
      <c r="K1830" s="14"/>
      <c r="L1830" s="46"/>
    </row>
    <row r="1831" spans="1:12" ht="26.25" customHeight="1">
      <c r="A1831" s="113">
        <v>46189</v>
      </c>
      <c r="B1831" s="17" t="s">
        <v>76</v>
      </c>
      <c r="C1831" s="114" t="s">
        <v>2913</v>
      </c>
      <c r="D1831" s="114" t="s">
        <v>2916</v>
      </c>
      <c r="E1831" s="17" t="s">
        <v>41</v>
      </c>
      <c r="F1831" s="17" t="s">
        <v>64</v>
      </c>
      <c r="G1831" s="114" t="s">
        <v>3004</v>
      </c>
      <c r="H1831" s="17"/>
      <c r="K1831" s="14"/>
      <c r="L1831" s="46"/>
    </row>
    <row r="1832" spans="1:12" ht="24" customHeight="1">
      <c r="A1832" s="113">
        <v>46189</v>
      </c>
      <c r="B1832" s="17" t="s">
        <v>76</v>
      </c>
      <c r="C1832" s="114" t="s">
        <v>2913</v>
      </c>
      <c r="D1832" s="114" t="s">
        <v>2998</v>
      </c>
      <c r="E1832" s="17" t="s">
        <v>41</v>
      </c>
      <c r="F1832" s="17" t="s">
        <v>77</v>
      </c>
      <c r="G1832" s="114" t="s">
        <v>1385</v>
      </c>
      <c r="H1832" s="17"/>
      <c r="K1832" s="14"/>
      <c r="L1832" s="46"/>
    </row>
    <row r="1833" spans="1:12" ht="21" customHeight="1">
      <c r="A1833" s="113">
        <v>46189</v>
      </c>
      <c r="B1833" s="17" t="s">
        <v>76</v>
      </c>
      <c r="C1833" s="114" t="s">
        <v>2913</v>
      </c>
      <c r="D1833" s="114" t="s">
        <v>2998</v>
      </c>
      <c r="E1833" s="17" t="s">
        <v>41</v>
      </c>
      <c r="F1833" s="17" t="s">
        <v>64</v>
      </c>
      <c r="G1833" s="114" t="s">
        <v>3000</v>
      </c>
      <c r="H1833" s="17"/>
      <c r="K1833" s="14"/>
      <c r="L1833" s="46"/>
    </row>
    <row r="1834" spans="1:12" ht="42.75" customHeight="1">
      <c r="A1834" s="113">
        <v>46189</v>
      </c>
      <c r="B1834" s="17" t="s">
        <v>75</v>
      </c>
      <c r="C1834" s="114" t="s">
        <v>2941</v>
      </c>
      <c r="D1834" s="114" t="s">
        <v>2942</v>
      </c>
      <c r="E1834" s="17" t="s">
        <v>41</v>
      </c>
      <c r="F1834" s="17" t="s">
        <v>71</v>
      </c>
      <c r="G1834" s="114" t="s">
        <v>3001</v>
      </c>
      <c r="H1834" s="17"/>
      <c r="K1834" s="14"/>
      <c r="L1834" s="46"/>
    </row>
    <row r="1835" spans="1:12" ht="29.25" customHeight="1">
      <c r="A1835" s="113">
        <v>46189</v>
      </c>
      <c r="B1835" s="17" t="s">
        <v>76</v>
      </c>
      <c r="C1835" s="114" t="s">
        <v>2911</v>
      </c>
      <c r="D1835" s="114" t="s">
        <v>3002</v>
      </c>
      <c r="E1835" s="17" t="s">
        <v>41</v>
      </c>
      <c r="F1835" s="17" t="s">
        <v>64</v>
      </c>
      <c r="G1835" s="114" t="s">
        <v>3003</v>
      </c>
      <c r="H1835" s="17"/>
      <c r="K1835" s="14"/>
      <c r="L1835" s="46"/>
    </row>
    <row r="1836" spans="1:12" ht="39" customHeight="1">
      <c r="A1836" s="113">
        <v>46189</v>
      </c>
      <c r="B1836" s="17" t="s">
        <v>76</v>
      </c>
      <c r="C1836" s="114" t="s">
        <v>1204</v>
      </c>
      <c r="D1836" s="114" t="s">
        <v>3005</v>
      </c>
      <c r="E1836" s="17" t="s">
        <v>41</v>
      </c>
      <c r="F1836" s="17" t="s">
        <v>71</v>
      </c>
      <c r="G1836" s="114" t="s">
        <v>3006</v>
      </c>
      <c r="H1836" s="17"/>
      <c r="K1836" s="14"/>
      <c r="L1836" s="46"/>
    </row>
    <row r="1837" spans="1:12" ht="29.25" customHeight="1">
      <c r="A1837" s="120"/>
      <c r="B1837" s="32"/>
      <c r="C1837" s="121"/>
      <c r="D1837" s="121"/>
      <c r="E1837" s="32"/>
      <c r="F1837" s="32"/>
      <c r="G1837" s="121"/>
      <c r="H1837" s="32"/>
      <c r="K1837" s="14"/>
      <c r="L1837" s="46"/>
    </row>
    <row r="1838" spans="1:12" ht="29.25" customHeight="1">
      <c r="A1838" s="120"/>
      <c r="B1838" s="32"/>
      <c r="C1838" s="121"/>
      <c r="D1838" s="121"/>
      <c r="E1838" s="32"/>
      <c r="F1838" s="32"/>
      <c r="G1838" s="121"/>
      <c r="H1838" s="32"/>
      <c r="K1838" s="14"/>
      <c r="L1838" s="46"/>
    </row>
    <row r="1839" spans="1:12" ht="29.25" customHeight="1">
      <c r="A1839" s="120"/>
      <c r="B1839" s="32"/>
      <c r="C1839" s="121"/>
      <c r="D1839" s="121"/>
      <c r="E1839" s="32"/>
      <c r="F1839" s="32"/>
      <c r="G1839" s="121"/>
      <c r="H1839" s="32"/>
      <c r="K1839" s="14"/>
      <c r="L1839" s="46"/>
    </row>
    <row r="1841" spans="1:6" ht="15" customHeight="1"/>
    <row r="1842" spans="1:6" ht="16.5" thickBot="1"/>
    <row r="1843" spans="1:6" ht="16.5" thickBot="1">
      <c r="A1843" s="3" t="s">
        <v>70</v>
      </c>
      <c r="B1843" s="4" t="s">
        <v>72</v>
      </c>
      <c r="C1843" s="4" t="s">
        <v>16</v>
      </c>
      <c r="D1843" s="34" t="s">
        <v>155</v>
      </c>
      <c r="E1843" s="9" t="s">
        <v>156</v>
      </c>
      <c r="F1843" s="10" t="s">
        <v>157</v>
      </c>
    </row>
    <row r="1844" spans="1:6">
      <c r="A1844" s="135" t="s">
        <v>63</v>
      </c>
      <c r="B1844" s="99" t="s">
        <v>68</v>
      </c>
      <c r="C1844" s="99">
        <v>5</v>
      </c>
      <c r="D1844" s="99">
        <f>C1844</f>
        <v>5</v>
      </c>
      <c r="E1844" s="138">
        <f>D1844+D1846+D1848</f>
        <v>5.333333333333333</v>
      </c>
      <c r="F1844" s="141">
        <f>E1844/12</f>
        <v>0.44444444444444442</v>
      </c>
    </row>
    <row r="1845" spans="1:6">
      <c r="A1845" s="136"/>
      <c r="B1845" s="144" t="s">
        <v>65</v>
      </c>
      <c r="C1845" s="144">
        <v>1</v>
      </c>
      <c r="D1845" s="35" t="s">
        <v>158</v>
      </c>
      <c r="E1845" s="139"/>
      <c r="F1845" s="142"/>
    </row>
    <row r="1846" spans="1:6">
      <c r="A1846" s="136"/>
      <c r="B1846" s="145"/>
      <c r="C1846" s="145"/>
      <c r="D1846" s="16">
        <f>C1845/3</f>
        <v>0.33333333333333331</v>
      </c>
      <c r="E1846" s="139"/>
      <c r="F1846" s="142"/>
    </row>
    <row r="1847" spans="1:6">
      <c r="A1847" s="136"/>
      <c r="B1847" s="144" t="s">
        <v>69</v>
      </c>
      <c r="C1847" s="144">
        <v>0</v>
      </c>
      <c r="D1847" s="35" t="s">
        <v>159</v>
      </c>
      <c r="E1847" s="139"/>
      <c r="F1847" s="142"/>
    </row>
    <row r="1848" spans="1:6">
      <c r="A1848" s="137"/>
      <c r="B1848" s="145"/>
      <c r="C1848" s="145"/>
      <c r="D1848" s="16">
        <v>0</v>
      </c>
      <c r="E1848" s="140"/>
      <c r="F1848" s="143"/>
    </row>
    <row r="1849" spans="1:6">
      <c r="A1849" s="36" t="s">
        <v>70</v>
      </c>
      <c r="B1849" s="37" t="s">
        <v>72</v>
      </c>
      <c r="C1849" s="37" t="s">
        <v>16</v>
      </c>
      <c r="D1849" s="146" t="s">
        <v>160</v>
      </c>
      <c r="E1849" s="147"/>
      <c r="F1849" s="148"/>
    </row>
    <row r="1850" spans="1:6">
      <c r="A1850" s="149" t="s">
        <v>62</v>
      </c>
      <c r="B1850" s="16" t="s">
        <v>68</v>
      </c>
      <c r="C1850" s="16">
        <v>7</v>
      </c>
      <c r="D1850" s="151">
        <f>C1850/9</f>
        <v>0.77777777777777779</v>
      </c>
      <c r="E1850" s="152"/>
      <c r="F1850" s="153"/>
    </row>
    <row r="1851" spans="1:6" ht="16.5" thickBot="1">
      <c r="A1851" s="150"/>
      <c r="B1851" s="20" t="s">
        <v>69</v>
      </c>
      <c r="C1851" s="20">
        <v>0</v>
      </c>
      <c r="D1851" s="154"/>
      <c r="E1851" s="155"/>
      <c r="F1851" s="156"/>
    </row>
  </sheetData>
  <autoFilter ref="A1756:H1757" xr:uid="{6C3C0608-94A8-4E60-B7DA-7237AE180674}"/>
  <mergeCells count="370">
    <mergeCell ref="A1746:A1750"/>
    <mergeCell ref="E1746:E1750"/>
    <mergeCell ref="F1746:F1750"/>
    <mergeCell ref="B1747:B1748"/>
    <mergeCell ref="C1747:C1748"/>
    <mergeCell ref="B1749:B1750"/>
    <mergeCell ref="C1749:C1750"/>
    <mergeCell ref="D1849:F1849"/>
    <mergeCell ref="A1850:A1851"/>
    <mergeCell ref="D1850:F1851"/>
    <mergeCell ref="D1751:F1751"/>
    <mergeCell ref="A1752:A1753"/>
    <mergeCell ref="D1752:F1753"/>
    <mergeCell ref="A1844:A1848"/>
    <mergeCell ref="E1844:E1848"/>
    <mergeCell ref="F1844:F1848"/>
    <mergeCell ref="B1845:B1846"/>
    <mergeCell ref="C1845:C1846"/>
    <mergeCell ref="B1847:B1848"/>
    <mergeCell ref="C1847:C1848"/>
    <mergeCell ref="A1696:A1700"/>
    <mergeCell ref="E1696:E1700"/>
    <mergeCell ref="F1696:F1700"/>
    <mergeCell ref="B1697:B1698"/>
    <mergeCell ref="C1697:C1698"/>
    <mergeCell ref="B1699:B1700"/>
    <mergeCell ref="C1699:C1700"/>
    <mergeCell ref="D1701:F1701"/>
    <mergeCell ref="A1702:A1703"/>
    <mergeCell ref="D1702:F1703"/>
    <mergeCell ref="A1642:A1646"/>
    <mergeCell ref="E1642:E1646"/>
    <mergeCell ref="F1642:F1646"/>
    <mergeCell ref="B1643:B1644"/>
    <mergeCell ref="C1643:C1644"/>
    <mergeCell ref="B1645:B1646"/>
    <mergeCell ref="C1645:C1646"/>
    <mergeCell ref="D1647:F1647"/>
    <mergeCell ref="A1648:A1649"/>
    <mergeCell ref="D1648:F1649"/>
    <mergeCell ref="A1585:A1589"/>
    <mergeCell ref="E1585:E1589"/>
    <mergeCell ref="F1585:F1589"/>
    <mergeCell ref="B1586:B1587"/>
    <mergeCell ref="C1586:C1587"/>
    <mergeCell ref="B1588:B1589"/>
    <mergeCell ref="C1588:C1589"/>
    <mergeCell ref="D1590:F1590"/>
    <mergeCell ref="A1591:A1592"/>
    <mergeCell ref="D1591:F1592"/>
    <mergeCell ref="A1546:A1550"/>
    <mergeCell ref="E1546:E1550"/>
    <mergeCell ref="F1546:F1550"/>
    <mergeCell ref="B1547:B1548"/>
    <mergeCell ref="C1547:C1548"/>
    <mergeCell ref="B1549:B1550"/>
    <mergeCell ref="C1549:C1550"/>
    <mergeCell ref="D1551:F1551"/>
    <mergeCell ref="A1552:A1553"/>
    <mergeCell ref="D1552:F1553"/>
    <mergeCell ref="A1507:A1511"/>
    <mergeCell ref="E1507:E1511"/>
    <mergeCell ref="F1507:F1511"/>
    <mergeCell ref="B1508:B1509"/>
    <mergeCell ref="C1508:C1509"/>
    <mergeCell ref="B1510:B1511"/>
    <mergeCell ref="C1510:C1511"/>
    <mergeCell ref="D1512:F1512"/>
    <mergeCell ref="A1513:A1514"/>
    <mergeCell ref="D1513:F1514"/>
    <mergeCell ref="A1433:A1437"/>
    <mergeCell ref="E1433:E1437"/>
    <mergeCell ref="F1433:F1437"/>
    <mergeCell ref="B1434:B1435"/>
    <mergeCell ref="C1434:C1435"/>
    <mergeCell ref="B1436:B1437"/>
    <mergeCell ref="C1436:C1437"/>
    <mergeCell ref="D1438:F1438"/>
    <mergeCell ref="A1439:A1440"/>
    <mergeCell ref="D1439:F1440"/>
    <mergeCell ref="A1393:A1397"/>
    <mergeCell ref="E1393:E1397"/>
    <mergeCell ref="F1393:F1397"/>
    <mergeCell ref="B1394:B1395"/>
    <mergeCell ref="C1394:C1395"/>
    <mergeCell ref="B1396:B1397"/>
    <mergeCell ref="C1396:C1397"/>
    <mergeCell ref="D1398:F1398"/>
    <mergeCell ref="A1399:A1400"/>
    <mergeCell ref="D1399:F1400"/>
    <mergeCell ref="A1330:A1334"/>
    <mergeCell ref="E1330:E1334"/>
    <mergeCell ref="F1330:F1334"/>
    <mergeCell ref="B1331:B1332"/>
    <mergeCell ref="C1331:C1332"/>
    <mergeCell ref="B1333:B1334"/>
    <mergeCell ref="C1333:C1334"/>
    <mergeCell ref="D1335:F1335"/>
    <mergeCell ref="A1336:A1337"/>
    <mergeCell ref="D1336:F1337"/>
    <mergeCell ref="A1270:A1274"/>
    <mergeCell ref="E1270:E1274"/>
    <mergeCell ref="F1270:F1274"/>
    <mergeCell ref="B1271:B1272"/>
    <mergeCell ref="C1271:C1272"/>
    <mergeCell ref="B1273:B1274"/>
    <mergeCell ref="C1273:C1274"/>
    <mergeCell ref="D1275:F1275"/>
    <mergeCell ref="A1276:A1277"/>
    <mergeCell ref="D1276:F1277"/>
    <mergeCell ref="A1211:A1215"/>
    <mergeCell ref="E1211:E1215"/>
    <mergeCell ref="F1211:F1215"/>
    <mergeCell ref="B1212:B1213"/>
    <mergeCell ref="C1212:C1213"/>
    <mergeCell ref="B1214:B1215"/>
    <mergeCell ref="C1214:C1215"/>
    <mergeCell ref="D1216:F1216"/>
    <mergeCell ref="A1217:A1218"/>
    <mergeCell ref="D1217:F1218"/>
    <mergeCell ref="A1158:A1162"/>
    <mergeCell ref="E1158:E1162"/>
    <mergeCell ref="F1158:F1162"/>
    <mergeCell ref="B1159:B1160"/>
    <mergeCell ref="C1159:C1160"/>
    <mergeCell ref="B1161:B1162"/>
    <mergeCell ref="C1161:C1162"/>
    <mergeCell ref="D1163:F1163"/>
    <mergeCell ref="A1164:A1165"/>
    <mergeCell ref="D1164:F1165"/>
    <mergeCell ref="A1105:A1109"/>
    <mergeCell ref="E1105:E1109"/>
    <mergeCell ref="F1105:F1109"/>
    <mergeCell ref="B1106:B1107"/>
    <mergeCell ref="C1106:C1107"/>
    <mergeCell ref="B1108:B1109"/>
    <mergeCell ref="C1108:C1109"/>
    <mergeCell ref="D1110:F1110"/>
    <mergeCell ref="A1111:A1112"/>
    <mergeCell ref="D1111:F1112"/>
    <mergeCell ref="A1043:A1047"/>
    <mergeCell ref="E1043:E1047"/>
    <mergeCell ref="F1043:F1047"/>
    <mergeCell ref="B1044:B1045"/>
    <mergeCell ref="C1044:C1045"/>
    <mergeCell ref="B1046:B1047"/>
    <mergeCell ref="C1046:C1047"/>
    <mergeCell ref="D1048:F1048"/>
    <mergeCell ref="A1049:A1050"/>
    <mergeCell ref="D1049:F1050"/>
    <mergeCell ref="A982:A986"/>
    <mergeCell ref="E982:E986"/>
    <mergeCell ref="F982:F986"/>
    <mergeCell ref="B983:B984"/>
    <mergeCell ref="C983:C984"/>
    <mergeCell ref="B985:B986"/>
    <mergeCell ref="C985:C986"/>
    <mergeCell ref="D987:F987"/>
    <mergeCell ref="A988:A989"/>
    <mergeCell ref="D988:F989"/>
    <mergeCell ref="A950:A954"/>
    <mergeCell ref="E950:E954"/>
    <mergeCell ref="F950:F954"/>
    <mergeCell ref="B951:B952"/>
    <mergeCell ref="C951:C952"/>
    <mergeCell ref="B953:B954"/>
    <mergeCell ref="C953:C954"/>
    <mergeCell ref="D955:F955"/>
    <mergeCell ref="A956:A957"/>
    <mergeCell ref="D956:F957"/>
    <mergeCell ref="A911:A915"/>
    <mergeCell ref="E911:E915"/>
    <mergeCell ref="F911:F915"/>
    <mergeCell ref="B912:B913"/>
    <mergeCell ref="C912:C913"/>
    <mergeCell ref="B914:B915"/>
    <mergeCell ref="C914:C915"/>
    <mergeCell ref="D916:F916"/>
    <mergeCell ref="A917:A918"/>
    <mergeCell ref="D917:F918"/>
    <mergeCell ref="A869:A873"/>
    <mergeCell ref="E869:E873"/>
    <mergeCell ref="F869:F873"/>
    <mergeCell ref="B870:B871"/>
    <mergeCell ref="C870:C871"/>
    <mergeCell ref="B872:B873"/>
    <mergeCell ref="C872:C873"/>
    <mergeCell ref="D874:F874"/>
    <mergeCell ref="A875:A876"/>
    <mergeCell ref="D875:F876"/>
    <mergeCell ref="A830:A834"/>
    <mergeCell ref="E830:E834"/>
    <mergeCell ref="F830:F834"/>
    <mergeCell ref="B831:B832"/>
    <mergeCell ref="C831:C832"/>
    <mergeCell ref="B833:B834"/>
    <mergeCell ref="C833:C834"/>
    <mergeCell ref="D835:F835"/>
    <mergeCell ref="A836:A837"/>
    <mergeCell ref="D836:F837"/>
    <mergeCell ref="A780:A784"/>
    <mergeCell ref="E780:E784"/>
    <mergeCell ref="F780:F784"/>
    <mergeCell ref="B781:B782"/>
    <mergeCell ref="C781:C782"/>
    <mergeCell ref="B783:B784"/>
    <mergeCell ref="C783:C784"/>
    <mergeCell ref="D785:F785"/>
    <mergeCell ref="A786:A787"/>
    <mergeCell ref="D786:F787"/>
    <mergeCell ref="A703:A707"/>
    <mergeCell ref="E703:E707"/>
    <mergeCell ref="F703:F707"/>
    <mergeCell ref="B704:B705"/>
    <mergeCell ref="C704:C705"/>
    <mergeCell ref="B706:B707"/>
    <mergeCell ref="C706:C707"/>
    <mergeCell ref="D708:F708"/>
    <mergeCell ref="A709:A710"/>
    <mergeCell ref="D709:F710"/>
    <mergeCell ref="A665:A669"/>
    <mergeCell ref="E665:E669"/>
    <mergeCell ref="F665:F669"/>
    <mergeCell ref="B666:B667"/>
    <mergeCell ref="C666:C667"/>
    <mergeCell ref="B668:B669"/>
    <mergeCell ref="C668:C669"/>
    <mergeCell ref="D670:F670"/>
    <mergeCell ref="A671:A672"/>
    <mergeCell ref="D671:F672"/>
    <mergeCell ref="A602:A606"/>
    <mergeCell ref="E602:E606"/>
    <mergeCell ref="F602:F606"/>
    <mergeCell ref="B603:B604"/>
    <mergeCell ref="C603:C604"/>
    <mergeCell ref="B605:B606"/>
    <mergeCell ref="C605:C606"/>
    <mergeCell ref="D607:F607"/>
    <mergeCell ref="A608:A609"/>
    <mergeCell ref="D608:F609"/>
    <mergeCell ref="A552:A556"/>
    <mergeCell ref="E552:E556"/>
    <mergeCell ref="F552:F556"/>
    <mergeCell ref="B553:B554"/>
    <mergeCell ref="C553:C554"/>
    <mergeCell ref="B555:B556"/>
    <mergeCell ref="C555:C556"/>
    <mergeCell ref="D557:F557"/>
    <mergeCell ref="A558:A559"/>
    <mergeCell ref="D558:F559"/>
    <mergeCell ref="A482:A486"/>
    <mergeCell ref="E482:E486"/>
    <mergeCell ref="F482:F486"/>
    <mergeCell ref="B483:B484"/>
    <mergeCell ref="C483:C484"/>
    <mergeCell ref="B485:B486"/>
    <mergeCell ref="C485:C486"/>
    <mergeCell ref="D487:F487"/>
    <mergeCell ref="A488:A489"/>
    <mergeCell ref="D488:F489"/>
    <mergeCell ref="A439:A443"/>
    <mergeCell ref="E439:E443"/>
    <mergeCell ref="F439:F443"/>
    <mergeCell ref="B440:B441"/>
    <mergeCell ref="C440:C441"/>
    <mergeCell ref="B442:B443"/>
    <mergeCell ref="C442:C443"/>
    <mergeCell ref="D444:F444"/>
    <mergeCell ref="A445:A446"/>
    <mergeCell ref="D445:F446"/>
    <mergeCell ref="A386:A390"/>
    <mergeCell ref="E386:E390"/>
    <mergeCell ref="F386:F390"/>
    <mergeCell ref="B387:B388"/>
    <mergeCell ref="C387:C388"/>
    <mergeCell ref="B389:B390"/>
    <mergeCell ref="C389:C390"/>
    <mergeCell ref="D391:F391"/>
    <mergeCell ref="A392:A393"/>
    <mergeCell ref="D392:F393"/>
    <mergeCell ref="A348:A352"/>
    <mergeCell ref="E348:E352"/>
    <mergeCell ref="F348:F352"/>
    <mergeCell ref="B349:B350"/>
    <mergeCell ref="C349:C350"/>
    <mergeCell ref="B351:B352"/>
    <mergeCell ref="C351:C352"/>
    <mergeCell ref="D353:F353"/>
    <mergeCell ref="A354:A355"/>
    <mergeCell ref="D354:F355"/>
    <mergeCell ref="A321:A325"/>
    <mergeCell ref="E321:E325"/>
    <mergeCell ref="F321:F325"/>
    <mergeCell ref="B322:B323"/>
    <mergeCell ref="C322:C323"/>
    <mergeCell ref="B324:B325"/>
    <mergeCell ref="C324:C325"/>
    <mergeCell ref="D326:F326"/>
    <mergeCell ref="A327:A328"/>
    <mergeCell ref="D327:F328"/>
    <mergeCell ref="A282:A286"/>
    <mergeCell ref="E282:E286"/>
    <mergeCell ref="F282:F286"/>
    <mergeCell ref="B283:B284"/>
    <mergeCell ref="C283:C284"/>
    <mergeCell ref="B285:B286"/>
    <mergeCell ref="C285:C286"/>
    <mergeCell ref="D287:F287"/>
    <mergeCell ref="A288:A289"/>
    <mergeCell ref="D288:F289"/>
    <mergeCell ref="A233:A237"/>
    <mergeCell ref="E233:E237"/>
    <mergeCell ref="F233:F237"/>
    <mergeCell ref="B234:B235"/>
    <mergeCell ref="C234:C235"/>
    <mergeCell ref="B236:B237"/>
    <mergeCell ref="C236:C237"/>
    <mergeCell ref="D238:F238"/>
    <mergeCell ref="A239:A240"/>
    <mergeCell ref="D239:F240"/>
    <mergeCell ref="A196:A200"/>
    <mergeCell ref="E196:E200"/>
    <mergeCell ref="F196:F200"/>
    <mergeCell ref="B197:B198"/>
    <mergeCell ref="C197:C198"/>
    <mergeCell ref="B199:B200"/>
    <mergeCell ref="C199:C200"/>
    <mergeCell ref="D201:F201"/>
    <mergeCell ref="A202:A203"/>
    <mergeCell ref="D202:F203"/>
    <mergeCell ref="A152:A156"/>
    <mergeCell ref="E152:E156"/>
    <mergeCell ref="F152:F156"/>
    <mergeCell ref="B153:B154"/>
    <mergeCell ref="C153:C154"/>
    <mergeCell ref="B155:B156"/>
    <mergeCell ref="C155:C156"/>
    <mergeCell ref="D157:F157"/>
    <mergeCell ref="A158:A159"/>
    <mergeCell ref="D158:F159"/>
    <mergeCell ref="A104:A108"/>
    <mergeCell ref="E104:E108"/>
    <mergeCell ref="F104:F108"/>
    <mergeCell ref="B105:B106"/>
    <mergeCell ref="C105:C106"/>
    <mergeCell ref="B107:B108"/>
    <mergeCell ref="C107:C108"/>
    <mergeCell ref="D109:F109"/>
    <mergeCell ref="A110:A111"/>
    <mergeCell ref="D110:F111"/>
    <mergeCell ref="A62:A66"/>
    <mergeCell ref="E62:E66"/>
    <mergeCell ref="F62:F66"/>
    <mergeCell ref="B63:B64"/>
    <mergeCell ref="C63:C64"/>
    <mergeCell ref="B65:B66"/>
    <mergeCell ref="C65:C66"/>
    <mergeCell ref="D67:F67"/>
    <mergeCell ref="A68:A69"/>
    <mergeCell ref="D68:F69"/>
    <mergeCell ref="A18:A22"/>
    <mergeCell ref="E18:E22"/>
    <mergeCell ref="F18:F22"/>
    <mergeCell ref="B19:B20"/>
    <mergeCell ref="C19:C20"/>
    <mergeCell ref="B21:B22"/>
    <mergeCell ref="C21:C22"/>
    <mergeCell ref="D23:F23"/>
    <mergeCell ref="A24:A25"/>
    <mergeCell ref="D24:F25"/>
  </mergeCells>
  <phoneticPr fontId="1" type="noConversion"/>
  <dataValidations count="4">
    <dataValidation type="list" allowBlank="1" showInputMessage="1" showErrorMessage="1" sqref="E30:E60 E70 E115:E149 E163:E193 E207:E230 E244:E279 E293:E318 E332:E345 E359:E383 E397:E436 E450:E479 E73:E102 E493:E549 E563:E599 E613:E662 E676:E700 E714:E777 E791:E827 E841:E866 E880:E908 E922:E947 E961:E979 E993:E1040 E1054:E1102 E1116:E1155 E1169:E1208 E1222:E1267 E1281:E1327 E1341:E1390 E1404:E1430 E1444:E1504 E1518:E1543 E1557:E1582 E1596:E1639 F1598 F1655 E1653:E1693 E1707:F1707 E1708:E1743 E1757:E1839" xr:uid="{9B73294A-DE40-408B-BC3C-6E092B08B351}">
      <formula1>"電訪,面訪"</formula1>
    </dataValidation>
    <dataValidation type="list" allowBlank="1" showInputMessage="1" showErrorMessage="1" sqref="B3:B16 B30:B60 B70 B115:B149 B163:B193 B207:B230 B244:B279 B293:B318 B332:B345 B359:B383 B397:B436 B450:B479 B73:B102 B493:B549 B563:B599 B613:B662 B676:B700 B714:B777 B791:B827 B841:B866 B880:B908 B922:B947 B961:B979 B993:B1040 B1054:B1102 B1116:B1155 B1169:B1208 B1222:B1267 B1281:B1327 B1341:B1390 B1404:B1430 B1444:B1504 B1518:B1543 B1557:B1582 B1596:B1639 B1653:B1693 B1707:B1743 B1757:B1839" xr:uid="{D3C909A7-C98B-40D0-B69A-19EE8F7DCD6E}">
      <formula1>"陌生開發,新項目討論,訂單協議,關係維護"</formula1>
    </dataValidation>
    <dataValidation type="list" allowBlank="1" showInputMessage="1" showErrorMessage="1" sqref="F3:F16 F30:F60 F70 H115:H149 F115:F149 H163:H193 F163:F193 H207:H230 F207:F230 F244:F279 H244:H279 H293:H318 F293:F318 F332:F345 H332:H345 F359:F383 H359:H383 F397:F436 H397:H436 H450:H479 F450:F479 H30:H70 H73:H102 F73:F102 H493:H549 F493:F549 F563:F599 H563:H599 H613:H662 F613:F662 H676:H700 F676:F700 H714:H777 F714:F777 F791:F827 H791:H827 F841:F866 H841:H866 F880:F908 H880:H908 H922:H947 F922:F947 F961:F979 H961:H979 H993:H1040 F993:F1040 F1054:F1102 H1054:H1102 H1116:H1155 F1116:F1155 H1169:H1208 F1169:F1208 F1222:F1267 H1222:H1267 F1281:F1327 H1281:H1327 H1341:H1390 F1341:F1390 H1404:H1430 F1404:F1430 F1444:F1504 H1444:H1504 F1518:F1543 H1518:H1543 F1557:F1582 H1557:H1582 H1596:H1639 F1596:F1639 F1653:F1693 H1653:H1693 H1707:H1743 F1707:F1743 H1757:H1839 F1757:F1839" xr:uid="{4CE6C06F-DAE1-49FB-93EA-29814DCC8B23}">
      <formula1>"有效接觸,約訪,無效"</formula1>
    </dataValidation>
    <dataValidation type="list" allowBlank="1" showInputMessage="1" showErrorMessage="1" sqref="E3:E16" xr:uid="{DEB36115-2CCB-45F5-A776-0CF11A8C73FE}">
      <formula1>"電訪,面訪,郵件"</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任務進度追蹤</vt:lpstr>
      <vt:lpstr>國外客戶交貨</vt:lpstr>
      <vt:lpstr>採購單下單整理</vt:lpstr>
      <vt:lpstr>工作表2</vt:lpstr>
      <vt:lpstr>工作表1</vt:lpstr>
      <vt:lpstr>接洽紀錄</vt:lpstr>
      <vt:lpstr>接洽紀錄.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EIT-Sales-2</dc:creator>
  <cp:lastModifiedBy>User</cp:lastModifiedBy>
  <dcterms:created xsi:type="dcterms:W3CDTF">2025-07-16T07:13:52Z</dcterms:created>
  <dcterms:modified xsi:type="dcterms:W3CDTF">2026-06-17T01:33:52Z</dcterms:modified>
</cp:coreProperties>
</file>